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drawings/drawing2.xml" ContentType="application/vnd.openxmlformats-officedocument.drawing+xml"/>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comments2.xml" ContentType="application/vnd.openxmlformats-officedocument.spreadsheetml.comments+xml"/>
  <Override PartName="/xl/drawings/drawing4.xml" ContentType="application/vnd.openxmlformats-officedocument.drawing+xml"/>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comments3.xml" ContentType="application/vnd.openxmlformats-officedocument.spreadsheetml.comments+xml"/>
  <Override PartName="/xl/drawings/drawing5.xml" ContentType="application/vnd.openxmlformats-officedocument.drawing+xml"/>
  <Override PartName="/xl/activeX/activeX11.xml" ContentType="application/vnd.ms-office.activeX+xml"/>
  <Override PartName="/xl/activeX/activeX11.bin" ContentType="application/vnd.ms-office.activeX"/>
  <Override PartName="/xl/comments4.xml" ContentType="application/vnd.openxmlformats-officedocument.spreadsheetml.comments+xml"/>
  <Override PartName="/xl/drawings/drawing6.xml" ContentType="application/vnd.openxmlformats-officedocument.drawing+xml"/>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ctrlProps/ctrlProp5.xml" ContentType="application/vnd.ms-excel.controlproperties+xml"/>
  <Override PartName="/xl/ctrlProps/ctrlProp6.xml" ContentType="application/vnd.ms-excel.controlproperties+xml"/>
  <Override PartName="/xl/comments5.xml" ContentType="application/vnd.openxmlformats-officedocument.spreadsheetml.comments+xml"/>
  <Override PartName="/xl/drawings/drawing7.xml" ContentType="application/vnd.openxmlformats-officedocument.drawing+xml"/>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comments6.xml" ContentType="application/vnd.openxmlformats-officedocument.spreadsheetml.comments+xml"/>
  <Override PartName="/xl/drawings/drawing8.xml" ContentType="application/vnd.openxmlformats-officedocument.drawing+xml"/>
  <Override PartName="/xl/activeX/activeX40.xml" ContentType="application/vnd.ms-office.activeX+xml"/>
  <Override PartName="/xl/activeX/activeX40.bin" ContentType="application/vnd.ms-office.activeX"/>
  <Override PartName="/xl/drawings/drawing9.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codeName="{7A2D7E96-6E34-419A-AE5F-296B3A7E7977}"/>
  <workbookPr showInkAnnotation="0" codeName="ThisWorkbook" hidePivotFieldList="1"/>
  <mc:AlternateContent xmlns:mc="http://schemas.openxmlformats.org/markup-compatibility/2006">
    <mc:Choice Requires="x15">
      <x15ac:absPath xmlns:x15ac="http://schemas.microsoft.com/office/spreadsheetml/2010/11/ac" url="R:\R Drive\3. OMRS\SGXB\2. Readiness\1. References\2. Air Force and Army References\CBRN References\CBRN Software Programs\CHART 2018\"/>
    </mc:Choice>
  </mc:AlternateContent>
  <workbookProtection workbookPassword="F562" lockStructure="1"/>
  <bookViews>
    <workbookView showHorizontalScroll="0" showVerticalScroll="0" showSheetTabs="0" xWindow="0" yWindow="840" windowWidth="28800" windowHeight="12225" tabRatio="519" firstSheet="1" activeTab="1"/>
  </bookViews>
  <sheets>
    <sheet name="Equations" sheetId="1" r:id="rId1"/>
    <sheet name="Main Sheet" sheetId="8" r:id="rId2"/>
    <sheet name="CWA Entry" sheetId="5" r:id="rId3"/>
    <sheet name="Nerve" sheetId="9" r:id="rId4"/>
    <sheet name="Mustard" sheetId="10" r:id="rId5"/>
    <sheet name="HN and L" sheetId="11" r:id="rId6"/>
    <sheet name="Rad" sheetId="12" r:id="rId7"/>
    <sheet name="Airborne Rad" sheetId="13" r:id="rId8"/>
    <sheet name="Bio" sheetId="14" r:id="rId9"/>
    <sheet name="Calculations (Toxic Load)" sheetId="2" r:id="rId10"/>
    <sheet name="Calculations (Habers Law)" sheetId="7" r:id="rId11"/>
    <sheet name="Risk Assessment (Habers Law)" sheetId="6" r:id="rId12"/>
    <sheet name="Instruction" sheetId="4" r:id="rId13"/>
  </sheets>
  <definedNames>
    <definedName name="_xlnm._FilterDatabase" localSheetId="8" hidden="1">Bio!$B$2:$K$39</definedName>
    <definedName name="a" localSheetId="8">Bio!#REF!</definedName>
    <definedName name="accute" localSheetId="6">Rad!#REF!</definedName>
    <definedName name="adef" localSheetId="8">Bio!#REF!</definedName>
    <definedName name="b" localSheetId="8">Bio!#REF!</definedName>
    <definedName name="bdef" localSheetId="8">Bio!#REF!</definedName>
    <definedName name="catdef" localSheetId="8">Bio!#REF!</definedName>
    <definedName name="cdef" localSheetId="8">Bio!#REF!</definedName>
  </definedNames>
  <calcPr calcId="162913"/>
</workbook>
</file>

<file path=xl/calcChain.xml><?xml version="1.0" encoding="utf-8"?>
<calcChain xmlns="http://schemas.openxmlformats.org/spreadsheetml/2006/main">
  <c r="B14" i="5" l="1"/>
  <c r="B51" i="12"/>
  <c r="B53" i="12"/>
  <c r="B47" i="12"/>
  <c r="B4" i="5"/>
  <c r="C7" i="11" s="1"/>
  <c r="C4" i="5"/>
  <c r="G4" i="2" s="1"/>
  <c r="F200" i="2"/>
  <c r="F318" i="2"/>
  <c r="F317" i="2"/>
  <c r="F316" i="2"/>
  <c r="F314" i="2"/>
  <c r="F297" i="2"/>
  <c r="F296" i="2"/>
  <c r="F295" i="2"/>
  <c r="F293" i="2"/>
  <c r="F292" i="2"/>
  <c r="F291" i="2"/>
  <c r="F129" i="2"/>
  <c r="F128" i="2"/>
  <c r="F127" i="2"/>
  <c r="F125" i="2"/>
  <c r="F124" i="2"/>
  <c r="F123" i="2"/>
  <c r="F107" i="2"/>
  <c r="F108" i="2"/>
  <c r="F106" i="2"/>
  <c r="F104" i="2"/>
  <c r="F103" i="2"/>
  <c r="F102" i="2"/>
  <c r="F122" i="2"/>
  <c r="F121" i="2"/>
  <c r="F120" i="2"/>
  <c r="F118" i="2"/>
  <c r="F117" i="2"/>
  <c r="F116" i="2"/>
  <c r="F101" i="2"/>
  <c r="F100" i="2"/>
  <c r="F99" i="2"/>
  <c r="F97" i="2"/>
  <c r="F96" i="2"/>
  <c r="F95" i="2"/>
  <c r="F115" i="2"/>
  <c r="F114" i="2"/>
  <c r="F113" i="2"/>
  <c r="F111" i="2"/>
  <c r="F110" i="2"/>
  <c r="F109" i="2"/>
  <c r="F94" i="2"/>
  <c r="F93" i="2"/>
  <c r="F92" i="2"/>
  <c r="F90" i="2"/>
  <c r="F89" i="2"/>
  <c r="F88" i="2"/>
  <c r="F66" i="2"/>
  <c r="F65" i="2"/>
  <c r="F64" i="2"/>
  <c r="F62" i="2"/>
  <c r="F61" i="2"/>
  <c r="F60" i="2"/>
  <c r="F39" i="2"/>
  <c r="F59" i="2"/>
  <c r="F58" i="2"/>
  <c r="F57" i="2"/>
  <c r="F55" i="2"/>
  <c r="F54" i="2"/>
  <c r="F53" i="2"/>
  <c r="F32" i="2"/>
  <c r="F52" i="2"/>
  <c r="F51" i="2"/>
  <c r="F50" i="2"/>
  <c r="F48" i="2"/>
  <c r="F47" i="2"/>
  <c r="F46" i="2"/>
  <c r="F25" i="2"/>
  <c r="H4" i="2"/>
  <c r="F234" i="2"/>
  <c r="F233" i="2"/>
  <c r="F232" i="2"/>
  <c r="F230" i="2"/>
  <c r="F229" i="2"/>
  <c r="F228" i="2"/>
  <c r="F192" i="2"/>
  <c r="F191" i="2"/>
  <c r="F190" i="2"/>
  <c r="F188" i="2"/>
  <c r="F187" i="2"/>
  <c r="F186" i="2"/>
  <c r="F213" i="2"/>
  <c r="F212" i="2"/>
  <c r="F211" i="2"/>
  <c r="F209" i="2"/>
  <c r="F208" i="2"/>
  <c r="F207" i="2"/>
  <c r="F227" i="2"/>
  <c r="F226" i="2"/>
  <c r="F225" i="2"/>
  <c r="F223" i="2"/>
  <c r="F222" i="2"/>
  <c r="F221" i="2"/>
  <c r="F206" i="2"/>
  <c r="F205" i="2"/>
  <c r="F204" i="2"/>
  <c r="F202" i="2"/>
  <c r="F201" i="2"/>
  <c r="F220" i="2"/>
  <c r="F219" i="2"/>
  <c r="F218" i="2"/>
  <c r="F216" i="2"/>
  <c r="F215" i="2"/>
  <c r="F214" i="2"/>
  <c r="F199" i="2"/>
  <c r="F198" i="2"/>
  <c r="F197" i="2"/>
  <c r="F195" i="2"/>
  <c r="F194" i="2"/>
  <c r="F193" i="2"/>
  <c r="F171" i="2"/>
  <c r="F170" i="2"/>
  <c r="F169" i="2"/>
  <c r="F167" i="2"/>
  <c r="F166" i="2"/>
  <c r="F165" i="2"/>
  <c r="F185" i="2"/>
  <c r="F184" i="2"/>
  <c r="F183" i="2"/>
  <c r="F181" i="2"/>
  <c r="F180" i="2"/>
  <c r="F179" i="2"/>
  <c r="F164" i="2"/>
  <c r="F163" i="2"/>
  <c r="F162" i="2"/>
  <c r="F160" i="2"/>
  <c r="F159" i="2"/>
  <c r="F158" i="2"/>
  <c r="F157" i="2"/>
  <c r="F156" i="2"/>
  <c r="F155" i="2"/>
  <c r="F153" i="2"/>
  <c r="F152" i="2"/>
  <c r="F151" i="2"/>
  <c r="F178" i="2"/>
  <c r="F177" i="2"/>
  <c r="F176" i="2"/>
  <c r="F174" i="2"/>
  <c r="F173" i="2"/>
  <c r="F172" i="2"/>
  <c r="F8" i="13"/>
  <c r="D4" i="13"/>
  <c r="F276" i="2"/>
  <c r="F24" i="2"/>
  <c r="F255" i="2"/>
  <c r="F87" i="2"/>
  <c r="F150" i="2"/>
  <c r="E14" i="13"/>
  <c r="E17" i="13"/>
  <c r="B19" i="13" s="1"/>
  <c r="B33" i="13" s="1"/>
  <c r="A22" i="13"/>
  <c r="A5" i="11"/>
  <c r="F346" i="2"/>
  <c r="F345" i="2"/>
  <c r="F344" i="2"/>
  <c r="F342" i="2"/>
  <c r="F341" i="2"/>
  <c r="F340" i="2"/>
  <c r="F353" i="2"/>
  <c r="F352" i="2"/>
  <c r="F351" i="2"/>
  <c r="F349" i="2"/>
  <c r="F348" i="2"/>
  <c r="F347" i="2"/>
  <c r="F360" i="2"/>
  <c r="F359" i="2"/>
  <c r="F358" i="2"/>
  <c r="F356" i="2"/>
  <c r="F355" i="2"/>
  <c r="F354" i="2"/>
  <c r="F367" i="2"/>
  <c r="L36" i="2" s="1"/>
  <c r="O36" i="2" s="1"/>
  <c r="F366" i="2"/>
  <c r="F365" i="2"/>
  <c r="F363" i="2"/>
  <c r="F362" i="2"/>
  <c r="F361" i="2"/>
  <c r="F374" i="2"/>
  <c r="F373" i="2"/>
  <c r="F372" i="2"/>
  <c r="F370" i="2"/>
  <c r="F369" i="2"/>
  <c r="F368" i="2"/>
  <c r="F381" i="2"/>
  <c r="N36" i="2" s="1"/>
  <c r="Q36" i="2" s="1"/>
  <c r="F380" i="2"/>
  <c r="F379" i="2"/>
  <c r="F377" i="2"/>
  <c r="F376" i="2"/>
  <c r="F375" i="2"/>
  <c r="F19" i="10"/>
  <c r="F20" i="10" s="1"/>
  <c r="F325" i="2"/>
  <c r="F324" i="2"/>
  <c r="F323" i="2"/>
  <c r="F321" i="2"/>
  <c r="F320" i="2"/>
  <c r="F319" i="2"/>
  <c r="F332" i="2"/>
  <c r="F331" i="2"/>
  <c r="F330" i="2"/>
  <c r="F328" i="2"/>
  <c r="F327" i="2"/>
  <c r="F326" i="2"/>
  <c r="F339" i="2"/>
  <c r="F338" i="2"/>
  <c r="F337" i="2"/>
  <c r="F335" i="2"/>
  <c r="F334" i="2"/>
  <c r="F333" i="2"/>
  <c r="F283" i="2"/>
  <c r="F282" i="2"/>
  <c r="F281" i="2"/>
  <c r="F279" i="2"/>
  <c r="F278" i="2"/>
  <c r="F277" i="2"/>
  <c r="F290" i="2"/>
  <c r="F289" i="2"/>
  <c r="F288" i="2"/>
  <c r="F286" i="2"/>
  <c r="F285" i="2"/>
  <c r="F284" i="2"/>
  <c r="F304" i="2"/>
  <c r="F303" i="2"/>
  <c r="F302" i="2"/>
  <c r="F300" i="2"/>
  <c r="F299" i="2"/>
  <c r="F298" i="2"/>
  <c r="F305" i="2"/>
  <c r="F311" i="2"/>
  <c r="F310" i="2"/>
  <c r="F309" i="2"/>
  <c r="F307" i="2"/>
  <c r="F306" i="2"/>
  <c r="F10" i="2"/>
  <c r="F9" i="2"/>
  <c r="F8" i="2"/>
  <c r="F6" i="2"/>
  <c r="F5" i="2"/>
  <c r="F4" i="2"/>
  <c r="F136" i="2"/>
  <c r="F135" i="2"/>
  <c r="F134" i="2"/>
  <c r="F132" i="2"/>
  <c r="F131" i="2"/>
  <c r="F130" i="2"/>
  <c r="F73" i="2"/>
  <c r="F72" i="2"/>
  <c r="F71" i="2"/>
  <c r="F69" i="2"/>
  <c r="F68" i="2"/>
  <c r="F67" i="2"/>
  <c r="F241" i="2"/>
  <c r="F240" i="2"/>
  <c r="F239" i="2"/>
  <c r="F237" i="2"/>
  <c r="F236" i="2"/>
  <c r="F235" i="2"/>
  <c r="F262" i="2"/>
  <c r="F261" i="2"/>
  <c r="F260" i="2"/>
  <c r="F258" i="2"/>
  <c r="F11" i="2"/>
  <c r="F13" i="2"/>
  <c r="F12" i="2"/>
  <c r="F15" i="2"/>
  <c r="F17" i="2"/>
  <c r="F16" i="2"/>
  <c r="F143" i="2"/>
  <c r="F142" i="2"/>
  <c r="F141" i="2"/>
  <c r="F139" i="2"/>
  <c r="F138" i="2"/>
  <c r="F137" i="2"/>
  <c r="F80" i="2"/>
  <c r="F79" i="2"/>
  <c r="F78" i="2"/>
  <c r="F76" i="2"/>
  <c r="F75" i="2"/>
  <c r="F74" i="2"/>
  <c r="F248" i="2"/>
  <c r="F247" i="2"/>
  <c r="F246" i="2"/>
  <c r="F244" i="2"/>
  <c r="F243" i="2"/>
  <c r="F242" i="2"/>
  <c r="F269" i="2"/>
  <c r="F268" i="2"/>
  <c r="F257" i="2"/>
  <c r="F256" i="2"/>
  <c r="F267" i="2"/>
  <c r="F265" i="2"/>
  <c r="F264" i="2"/>
  <c r="F263" i="2"/>
  <c r="B49" i="12"/>
  <c r="I16" i="12"/>
  <c r="E51" i="12"/>
  <c r="C53" i="12"/>
  <c r="G14" i="12"/>
  <c r="E31" i="13"/>
  <c r="E28" i="13"/>
  <c r="D8" i="13"/>
  <c r="D6" i="13"/>
  <c r="F6" i="13"/>
  <c r="D53" i="12"/>
  <c r="D51" i="12"/>
  <c r="C51" i="12"/>
  <c r="C10" i="11"/>
  <c r="C9" i="11"/>
  <c r="C5" i="11"/>
  <c r="G2" i="2"/>
  <c r="A1" i="9" s="1"/>
  <c r="H22" i="10"/>
  <c r="G21" i="10"/>
  <c r="F313" i="2"/>
  <c r="F312" i="2"/>
  <c r="F26" i="2"/>
  <c r="F33" i="2"/>
  <c r="F40" i="2"/>
  <c r="F23" i="2"/>
  <c r="F22" i="2"/>
  <c r="F20" i="2"/>
  <c r="F19" i="2"/>
  <c r="F18" i="2"/>
  <c r="F86" i="2"/>
  <c r="F85" i="2"/>
  <c r="F83" i="2"/>
  <c r="F82" i="2"/>
  <c r="F81" i="2"/>
  <c r="F149" i="2"/>
  <c r="F148" i="2"/>
  <c r="F146" i="2"/>
  <c r="F145" i="2"/>
  <c r="F144" i="2"/>
  <c r="F254" i="2"/>
  <c r="F253" i="2"/>
  <c r="F251" i="2"/>
  <c r="F250" i="2"/>
  <c r="F249" i="2"/>
  <c r="F275" i="2"/>
  <c r="F274" i="2"/>
  <c r="F272" i="2"/>
  <c r="F271" i="2"/>
  <c r="F270" i="2"/>
  <c r="F44" i="2"/>
  <c r="F45" i="2"/>
  <c r="F41" i="2"/>
  <c r="F43" i="2"/>
  <c r="F34" i="2"/>
  <c r="F36" i="2"/>
  <c r="F37" i="2"/>
  <c r="F38" i="2"/>
  <c r="F27" i="2"/>
  <c r="F29" i="2"/>
  <c r="F30" i="2"/>
  <c r="F31" i="2"/>
  <c r="S3" i="7"/>
  <c r="Z3" i="7"/>
  <c r="Y3" i="7"/>
  <c r="X3" i="7"/>
  <c r="T3" i="7"/>
  <c r="C7" i="6"/>
  <c r="U3" i="7"/>
  <c r="V3" i="7"/>
  <c r="W3" i="7"/>
  <c r="D7" i="6" s="1"/>
  <c r="G4" i="7" s="1"/>
  <c r="H4" i="7"/>
  <c r="F136" i="7"/>
  <c r="L64" i="7" s="1"/>
  <c r="F135" i="7"/>
  <c r="F134" i="7"/>
  <c r="F131" i="7"/>
  <c r="F132" i="7"/>
  <c r="F130" i="7"/>
  <c r="F164" i="7"/>
  <c r="F163" i="7"/>
  <c r="F162" i="7"/>
  <c r="F159" i="7"/>
  <c r="F160" i="7"/>
  <c r="F158" i="7"/>
  <c r="F150" i="7"/>
  <c r="F149" i="7"/>
  <c r="F148" i="7"/>
  <c r="F145" i="7"/>
  <c r="F146" i="7"/>
  <c r="F144" i="7"/>
  <c r="F129" i="7"/>
  <c r="F128" i="7"/>
  <c r="F127" i="7"/>
  <c r="F124" i="7"/>
  <c r="F125" i="7"/>
  <c r="F123" i="7"/>
  <c r="F151" i="7"/>
  <c r="F157" i="7"/>
  <c r="F156" i="7"/>
  <c r="F155" i="7"/>
  <c r="F153" i="7"/>
  <c r="F152" i="7"/>
  <c r="F143" i="7"/>
  <c r="F142" i="7"/>
  <c r="F141" i="7"/>
  <c r="M64" i="7" s="1"/>
  <c r="F139" i="7"/>
  <c r="F138" i="7"/>
  <c r="F137" i="7"/>
  <c r="F122" i="7"/>
  <c r="F121" i="7"/>
  <c r="F120" i="7"/>
  <c r="F118" i="7"/>
  <c r="F117" i="7"/>
  <c r="F116" i="7"/>
  <c r="F115" i="7"/>
  <c r="F114" i="7"/>
  <c r="F113" i="7"/>
  <c r="F111" i="7"/>
  <c r="F110" i="7"/>
  <c r="F109" i="7"/>
  <c r="F108" i="7"/>
  <c r="F107" i="7"/>
  <c r="F106" i="7"/>
  <c r="F104" i="7"/>
  <c r="F103" i="7"/>
  <c r="F102" i="7"/>
  <c r="F101" i="7"/>
  <c r="F100" i="7"/>
  <c r="F99" i="7"/>
  <c r="F97" i="7"/>
  <c r="F96" i="7"/>
  <c r="F95" i="7"/>
  <c r="F94" i="7"/>
  <c r="F93" i="7"/>
  <c r="F92" i="7"/>
  <c r="F90" i="7"/>
  <c r="F89" i="7"/>
  <c r="F88" i="7"/>
  <c r="F87" i="7"/>
  <c r="F86" i="7"/>
  <c r="F85" i="7"/>
  <c r="F83" i="7"/>
  <c r="F82" i="7"/>
  <c r="F81" i="7"/>
  <c r="F80" i="7"/>
  <c r="F79" i="7"/>
  <c r="F78" i="7"/>
  <c r="F76" i="7"/>
  <c r="F75" i="7"/>
  <c r="F74" i="7"/>
  <c r="F73" i="7"/>
  <c r="F72" i="7"/>
  <c r="F71" i="7"/>
  <c r="F69" i="7"/>
  <c r="F68" i="7"/>
  <c r="F67" i="7"/>
  <c r="F66" i="7"/>
  <c r="N55" i="7" s="1"/>
  <c r="Q55" i="7" s="1"/>
  <c r="F65" i="7"/>
  <c r="F64" i="7"/>
  <c r="F62" i="7"/>
  <c r="F61" i="7"/>
  <c r="F60" i="7"/>
  <c r="F59" i="7"/>
  <c r="F58" i="7"/>
  <c r="F57" i="7"/>
  <c r="F55" i="7"/>
  <c r="F54" i="7"/>
  <c r="F53" i="7"/>
  <c r="F52" i="7"/>
  <c r="F51" i="7"/>
  <c r="F50" i="7"/>
  <c r="F48" i="7"/>
  <c r="F47" i="7"/>
  <c r="F46" i="7"/>
  <c r="F45" i="7"/>
  <c r="F44" i="7"/>
  <c r="F43" i="7"/>
  <c r="F41" i="7"/>
  <c r="F40" i="7"/>
  <c r="F39" i="7"/>
  <c r="F38" i="7"/>
  <c r="F37" i="7"/>
  <c r="F36" i="7"/>
  <c r="F34" i="7"/>
  <c r="F33" i="7"/>
  <c r="F32" i="7"/>
  <c r="F31" i="7"/>
  <c r="F30" i="7"/>
  <c r="F29" i="7"/>
  <c r="F27" i="7"/>
  <c r="F26" i="7"/>
  <c r="F25" i="7"/>
  <c r="F24" i="7"/>
  <c r="F23" i="7"/>
  <c r="F22" i="7"/>
  <c r="F20" i="7"/>
  <c r="F19" i="7"/>
  <c r="F18" i="7"/>
  <c r="F17" i="7"/>
  <c r="F16" i="7"/>
  <c r="F15" i="7"/>
  <c r="F13" i="7"/>
  <c r="F12" i="7"/>
  <c r="F11" i="7"/>
  <c r="F10" i="7"/>
  <c r="L48" i="7" s="1"/>
  <c r="O48" i="7" s="1"/>
  <c r="F9" i="7"/>
  <c r="F8" i="7"/>
  <c r="F6" i="7"/>
  <c r="F5" i="7"/>
  <c r="F4" i="7"/>
  <c r="G182" i="1"/>
  <c r="G175" i="1"/>
  <c r="G168" i="1"/>
  <c r="G176" i="1"/>
  <c r="G169" i="1"/>
  <c r="G162" i="1"/>
  <c r="G161" i="1"/>
  <c r="G154" i="1"/>
  <c r="G147" i="1"/>
  <c r="G155" i="1"/>
  <c r="G148" i="1"/>
  <c r="G141" i="1"/>
  <c r="G140" i="1"/>
  <c r="G133" i="1"/>
  <c r="G126" i="1"/>
  <c r="G134" i="1"/>
  <c r="G127" i="1"/>
  <c r="G120" i="1"/>
  <c r="G119" i="1"/>
  <c r="G112" i="1"/>
  <c r="G113" i="1"/>
  <c r="G106" i="1"/>
  <c r="G105" i="1"/>
  <c r="G99" i="1"/>
  <c r="G98" i="1"/>
  <c r="G92" i="1"/>
  <c r="G91" i="1"/>
  <c r="G85" i="1"/>
  <c r="G84" i="1"/>
  <c r="G78" i="1"/>
  <c r="C28" i="4"/>
  <c r="C27" i="4"/>
  <c r="C26" i="4"/>
  <c r="C25" i="4"/>
  <c r="C24" i="4"/>
  <c r="C36" i="4"/>
  <c r="C35" i="4"/>
  <c r="C34" i="4"/>
  <c r="C33" i="4"/>
  <c r="C23" i="4"/>
  <c r="D35" i="6"/>
  <c r="D24" i="6"/>
  <c r="D13" i="6"/>
  <c r="C35" i="6"/>
  <c r="C24" i="6"/>
  <c r="C13" i="6"/>
  <c r="B35" i="6"/>
  <c r="B24" i="6"/>
  <c r="B13" i="6"/>
  <c r="B33" i="6"/>
  <c r="B22" i="6"/>
  <c r="B11" i="6"/>
  <c r="K38" i="7"/>
  <c r="K52" i="7"/>
  <c r="K4" i="7"/>
  <c r="K22" i="7"/>
  <c r="K5" i="7"/>
  <c r="K8" i="7"/>
  <c r="K36" i="7"/>
  <c r="K11" i="7"/>
  <c r="K64" i="7"/>
  <c r="K48" i="7"/>
  <c r="K58" i="7"/>
  <c r="K10" i="7"/>
  <c r="K14" i="7"/>
  <c r="K41" i="7"/>
  <c r="K40" i="7"/>
  <c r="K29" i="7"/>
  <c r="K49" i="7"/>
  <c r="K55" i="7"/>
  <c r="K20" i="7"/>
  <c r="N20" i="7" s="1"/>
  <c r="Q20" i="7" s="1"/>
  <c r="K66" i="7"/>
  <c r="H21" i="10"/>
  <c r="F22" i="10"/>
  <c r="C6" i="11"/>
  <c r="H19" i="10"/>
  <c r="H20" i="10" s="1"/>
  <c r="F21" i="10"/>
  <c r="G22" i="10"/>
  <c r="C8" i="11"/>
  <c r="G19" i="10"/>
  <c r="G20" i="10"/>
  <c r="K30" i="2"/>
  <c r="K32" i="2"/>
  <c r="J138" i="2"/>
  <c r="J116" i="2"/>
  <c r="K46" i="2"/>
  <c r="K60" i="2"/>
  <c r="J88" i="2"/>
  <c r="K47" i="2"/>
  <c r="J89" i="2"/>
  <c r="L86" i="2" s="1"/>
  <c r="B26" i="9" s="1"/>
  <c r="C26" i="9" s="1"/>
  <c r="J129" i="2"/>
  <c r="J128" i="2"/>
  <c r="L125" i="2" s="1"/>
  <c r="J99" i="2"/>
  <c r="K66" i="2"/>
  <c r="K139" i="2"/>
  <c r="K12" i="2"/>
  <c r="N12" i="2" s="1"/>
  <c r="Q12" i="2"/>
  <c r="D22" i="10"/>
  <c r="J101" i="2"/>
  <c r="K40" i="2"/>
  <c r="K61" i="2"/>
  <c r="K21" i="2"/>
  <c r="M21" i="2" s="1"/>
  <c r="P21" i="2"/>
  <c r="K50" i="2"/>
  <c r="K69" i="2"/>
  <c r="J86" i="2"/>
  <c r="J147" i="2"/>
  <c r="K155" i="2" s="1"/>
  <c r="N21" i="2"/>
  <c r="Q21" i="2" s="1"/>
  <c r="K14" i="2"/>
  <c r="K19" i="7"/>
  <c r="K63" i="7"/>
  <c r="A36" i="13"/>
  <c r="K18" i="2"/>
  <c r="K10" i="2"/>
  <c r="K24" i="2"/>
  <c r="L24" i="2" s="1"/>
  <c r="O24" i="2" s="1"/>
  <c r="K5" i="2"/>
  <c r="K26" i="2"/>
  <c r="N52" i="2" s="1"/>
  <c r="Q52" i="2" s="1"/>
  <c r="F8" i="10"/>
  <c r="K9" i="2"/>
  <c r="N10" i="2" s="1"/>
  <c r="Q10" i="2" s="1"/>
  <c r="K4" i="2"/>
  <c r="K36" i="2"/>
  <c r="D15" i="10"/>
  <c r="G8" i="10"/>
  <c r="D7" i="10"/>
  <c r="D5" i="10"/>
  <c r="D6" i="10"/>
  <c r="C15" i="10"/>
  <c r="B15" i="10"/>
  <c r="C22" i="10"/>
  <c r="C8" i="10"/>
  <c r="B22" i="10"/>
  <c r="B8" i="10"/>
  <c r="H8" i="10"/>
  <c r="D8" i="10"/>
  <c r="M10" i="7"/>
  <c r="P10" i="7" s="1"/>
  <c r="N11" i="7"/>
  <c r="Q11" i="7" s="1"/>
  <c r="K146" i="2"/>
  <c r="A8" i="11"/>
  <c r="K140" i="2"/>
  <c r="K142" i="2"/>
  <c r="L12" i="2"/>
  <c r="O12" i="2" s="1"/>
  <c r="L21" i="2"/>
  <c r="O21" i="2" s="1"/>
  <c r="M12" i="2"/>
  <c r="P12" i="2" s="1"/>
  <c r="M14" i="2"/>
  <c r="P14" i="2" s="1"/>
  <c r="K138" i="2"/>
  <c r="M46" i="2"/>
  <c r="P46" i="2" s="1"/>
  <c r="K145" i="2"/>
  <c r="K143" i="2"/>
  <c r="K149" i="2"/>
  <c r="K147" i="2"/>
  <c r="B6" i="11"/>
  <c r="L52" i="2"/>
  <c r="O52" i="2" s="1"/>
  <c r="C22" i="9"/>
  <c r="D15" i="9"/>
  <c r="N72" i="2"/>
  <c r="Q72" i="2" s="1"/>
  <c r="M72" i="2"/>
  <c r="M26" i="2"/>
  <c r="D22" i="9"/>
  <c r="B8" i="9"/>
  <c r="B22" i="9"/>
  <c r="D8" i="9"/>
  <c r="C8" i="9"/>
  <c r="L26" i="2"/>
  <c r="L72" i="2"/>
  <c r="N26" i="2"/>
  <c r="C15" i="9"/>
  <c r="B15" i="9"/>
  <c r="N18" i="2"/>
  <c r="Q18" i="2" s="1"/>
  <c r="N70" i="2"/>
  <c r="Q70" i="2" s="1"/>
  <c r="N50" i="2"/>
  <c r="Q50" i="2" s="1"/>
  <c r="L41" i="7"/>
  <c r="O41" i="7" s="1"/>
  <c r="M41" i="7"/>
  <c r="P41" i="7" s="1"/>
  <c r="M36" i="2"/>
  <c r="P36" i="2"/>
  <c r="N41" i="2"/>
  <c r="Q41" i="2"/>
  <c r="N61" i="2"/>
  <c r="Q61" i="2"/>
  <c r="B21" i="9" s="1"/>
  <c r="N5" i="2"/>
  <c r="Q5" i="2"/>
  <c r="L60" i="2"/>
  <c r="O60" i="2"/>
  <c r="D21" i="9" s="1"/>
  <c r="M4" i="2"/>
  <c r="P4" i="2"/>
  <c r="C7" i="9" s="1"/>
  <c r="M60" i="2"/>
  <c r="P60" i="2"/>
  <c r="C21" i="9" s="1"/>
  <c r="M40" i="2"/>
  <c r="P40" i="2"/>
  <c r="L4" i="2"/>
  <c r="O4" i="2"/>
  <c r="D7" i="9" s="1"/>
  <c r="L40" i="2"/>
  <c r="O40" i="2"/>
  <c r="F22" i="9"/>
  <c r="G22" i="9"/>
  <c r="H22" i="9"/>
  <c r="B19" i="10"/>
  <c r="B20" i="10"/>
  <c r="B5" i="10"/>
  <c r="B6" i="10"/>
  <c r="B12" i="10"/>
  <c r="B13" i="10"/>
  <c r="F7" i="10"/>
  <c r="F5" i="10"/>
  <c r="F6" i="10"/>
  <c r="H7" i="10"/>
  <c r="H5" i="10"/>
  <c r="H6" i="10"/>
  <c r="D21" i="10"/>
  <c r="D19" i="10"/>
  <c r="D20" i="10"/>
  <c r="C19" i="10"/>
  <c r="C20" i="10" s="1"/>
  <c r="C5" i="10"/>
  <c r="C6" i="10" s="1"/>
  <c r="C12" i="10"/>
  <c r="C13" i="10" s="1"/>
  <c r="G7" i="10"/>
  <c r="G5" i="10"/>
  <c r="G6" i="10" s="1"/>
  <c r="D14" i="10"/>
  <c r="D12" i="10"/>
  <c r="D13" i="10" s="1"/>
  <c r="B9" i="11"/>
  <c r="B7" i="11"/>
  <c r="B8" i="11"/>
  <c r="B5" i="11"/>
  <c r="B10" i="11"/>
  <c r="B19" i="9"/>
  <c r="B20" i="9" s="1"/>
  <c r="D14" i="9"/>
  <c r="D12" i="9"/>
  <c r="D13" i="9" s="1"/>
  <c r="Q26" i="2"/>
  <c r="B7" i="9"/>
  <c r="B5" i="9"/>
  <c r="B6" i="9" s="1"/>
  <c r="C5" i="9"/>
  <c r="C6" i="9" s="1"/>
  <c r="P26" i="2"/>
  <c r="F21" i="9"/>
  <c r="F19" i="9"/>
  <c r="F20" i="9" s="1"/>
  <c r="H19" i="9"/>
  <c r="H20" i="9" s="1"/>
  <c r="H21" i="9"/>
  <c r="D19" i="9"/>
  <c r="D20" i="9" s="1"/>
  <c r="O72" i="2"/>
  <c r="C19" i="9"/>
  <c r="C20" i="9" s="1"/>
  <c r="P72" i="2"/>
  <c r="G19" i="9"/>
  <c r="G20" i="9" s="1"/>
  <c r="G21" i="9"/>
  <c r="O26" i="2"/>
  <c r="D5" i="9"/>
  <c r="D6" i="9" s="1"/>
  <c r="C12" i="9"/>
  <c r="C13" i="9" s="1"/>
  <c r="C14" i="9"/>
  <c r="B14" i="9"/>
  <c r="B12" i="9"/>
  <c r="B13" i="9" s="1"/>
  <c r="C21" i="10"/>
  <c r="C7" i="10"/>
  <c r="C14" i="10"/>
  <c r="B14" i="10"/>
  <c r="B21" i="10"/>
  <c r="B7" i="10"/>
  <c r="N36" i="7" l="1"/>
  <c r="Q36" i="7" s="1"/>
  <c r="N58" i="7"/>
  <c r="Q58" i="7" s="1"/>
  <c r="N14" i="7"/>
  <c r="Q14" i="7" s="1"/>
  <c r="L63" i="2"/>
  <c r="O63" i="2" s="1"/>
  <c r="N64" i="2"/>
  <c r="Q64" i="2" s="1"/>
  <c r="M43" i="2"/>
  <c r="P43" i="2" s="1"/>
  <c r="L9" i="2"/>
  <c r="O9" i="2" s="1"/>
  <c r="L43" i="2"/>
  <c r="O43" i="2" s="1"/>
  <c r="M24" i="2"/>
  <c r="P24" i="2" s="1"/>
  <c r="L19" i="7"/>
  <c r="O19" i="7" s="1"/>
  <c r="K148" i="2"/>
  <c r="K150" i="2"/>
  <c r="N33" i="7"/>
  <c r="Q33" i="7" s="1"/>
  <c r="M66" i="2"/>
  <c r="P66" i="2" s="1"/>
  <c r="L14" i="2"/>
  <c r="O14" i="2" s="1"/>
  <c r="N63" i="7"/>
  <c r="N40" i="7"/>
  <c r="Q40" i="7" s="1"/>
  <c r="N22" i="7"/>
  <c r="Q22" i="7" s="1"/>
  <c r="M19" i="7"/>
  <c r="P19" i="7" s="1"/>
  <c r="K152" i="2"/>
  <c r="K153" i="2"/>
  <c r="K141" i="2"/>
  <c r="K144" i="2"/>
  <c r="M32" i="7"/>
  <c r="P32" i="7" s="1"/>
  <c r="L54" i="7"/>
  <c r="O54" i="7" s="1"/>
  <c r="M54" i="7"/>
  <c r="P54" i="7" s="1"/>
  <c r="L32" i="7"/>
  <c r="O32" i="7" s="1"/>
  <c r="L10" i="7"/>
  <c r="O10" i="7" s="1"/>
  <c r="K13" i="7"/>
  <c r="K30" i="7"/>
  <c r="K17" i="7"/>
  <c r="K26" i="7"/>
  <c r="K16" i="7"/>
  <c r="K57" i="7"/>
  <c r="K7" i="7"/>
  <c r="K60" i="7"/>
  <c r="K43" i="7"/>
  <c r="K21" i="7"/>
  <c r="K42" i="7"/>
  <c r="K32" i="7"/>
  <c r="K35" i="7"/>
  <c r="K27" i="7"/>
  <c r="K62" i="7"/>
  <c r="K51" i="7"/>
  <c r="K44" i="7"/>
  <c r="K54" i="7"/>
  <c r="K39" i="7"/>
  <c r="K18" i="7"/>
  <c r="N18" i="7" s="1"/>
  <c r="Q18" i="7" s="1"/>
  <c r="K65" i="7"/>
  <c r="K33" i="7"/>
  <c r="K67" i="7"/>
  <c r="J125" i="2"/>
  <c r="K55" i="2"/>
  <c r="L55" i="2" s="1"/>
  <c r="O55" i="2" s="1"/>
  <c r="K64" i="2"/>
  <c r="J113" i="2"/>
  <c r="J112" i="2"/>
  <c r="K17" i="2"/>
  <c r="K70" i="2"/>
  <c r="J87" i="2"/>
  <c r="K67" i="2"/>
  <c r="K41" i="2"/>
  <c r="J90" i="2"/>
  <c r="J126" i="2"/>
  <c r="J127" i="2"/>
  <c r="K15" i="2"/>
  <c r="K27" i="2"/>
  <c r="K7" i="2"/>
  <c r="K23" i="2"/>
  <c r="K11" i="2"/>
  <c r="J100" i="2"/>
  <c r="K72" i="2"/>
  <c r="K52" i="2"/>
  <c r="J103" i="2"/>
  <c r="J114" i="2"/>
  <c r="K75" i="2"/>
  <c r="K6" i="2"/>
  <c r="K49" i="2"/>
  <c r="K63" i="2"/>
  <c r="J102" i="2"/>
  <c r="L99" i="2" s="1"/>
  <c r="J115" i="2"/>
  <c r="L112" i="2" s="1"/>
  <c r="K43" i="2"/>
  <c r="K28" i="2"/>
  <c r="K34" i="2"/>
  <c r="K44" i="2"/>
  <c r="K20" i="2"/>
  <c r="L30" i="2"/>
  <c r="O30" i="2" s="1"/>
  <c r="L75" i="2"/>
  <c r="O75" i="2" s="1"/>
  <c r="N44" i="2"/>
  <c r="Q44" i="2" s="1"/>
  <c r="M9" i="2"/>
  <c r="P9" i="2" s="1"/>
  <c r="M63" i="2"/>
  <c r="P63" i="2" s="1"/>
  <c r="N24" i="2"/>
  <c r="Q24" i="2" s="1"/>
  <c r="M52" i="2"/>
  <c r="P52" i="2" s="1"/>
  <c r="K154" i="2"/>
  <c r="K151" i="2"/>
  <c r="L46" i="2"/>
  <c r="O46" i="2" s="1"/>
  <c r="L66" i="2"/>
  <c r="O66" i="2" s="1"/>
  <c r="M32" i="2"/>
  <c r="P32" i="2" s="1"/>
  <c r="N32" i="2"/>
  <c r="Q32" i="2" s="1"/>
  <c r="N27" i="7"/>
  <c r="Q27" i="7" s="1"/>
  <c r="N5" i="7"/>
  <c r="Q5" i="7" s="1"/>
  <c r="N49" i="7"/>
  <c r="Q49" i="7" s="1"/>
  <c r="L26" i="7"/>
  <c r="O26" i="7" s="1"/>
  <c r="M26" i="7"/>
  <c r="P26" i="7" s="1"/>
  <c r="M48" i="7"/>
  <c r="P48" i="7" s="1"/>
  <c r="L4" i="7"/>
  <c r="O4" i="7" s="1"/>
  <c r="M4" i="7"/>
  <c r="P4" i="7" s="1"/>
  <c r="L34" i="2" l="1"/>
  <c r="O34" i="2" s="1"/>
  <c r="N34" i="2"/>
  <c r="Q34" i="2" s="1"/>
  <c r="M34" i="2"/>
  <c r="P34" i="2" s="1"/>
  <c r="L7" i="2"/>
  <c r="O7" i="2" s="1"/>
  <c r="N7" i="2"/>
  <c r="Q7" i="2" s="1"/>
  <c r="M7" i="2"/>
  <c r="P7" i="2" s="1"/>
  <c r="M39" i="7"/>
  <c r="P39" i="7" s="1"/>
  <c r="L62" i="7"/>
  <c r="L39" i="7"/>
  <c r="O39" i="7" s="1"/>
  <c r="M62" i="7"/>
  <c r="N65" i="7"/>
  <c r="N42" i="7"/>
  <c r="Q42" i="7" s="1"/>
  <c r="N52" i="7"/>
  <c r="Q52" i="7" s="1"/>
  <c r="L51" i="7"/>
  <c r="O51" i="7" s="1"/>
  <c r="L29" i="7"/>
  <c r="O29" i="7" s="1"/>
  <c r="M51" i="7"/>
  <c r="P51" i="7" s="1"/>
  <c r="N30" i="7"/>
  <c r="Q30" i="7" s="1"/>
  <c r="M29" i="7"/>
  <c r="P29" i="7" s="1"/>
  <c r="M7" i="7"/>
  <c r="P7" i="7" s="1"/>
  <c r="N8" i="7"/>
  <c r="Q8" i="7" s="1"/>
  <c r="L7" i="7"/>
  <c r="O7" i="7" s="1"/>
  <c r="M17" i="7"/>
  <c r="P17" i="7" s="1"/>
  <c r="L17" i="7"/>
  <c r="O17" i="7" s="1"/>
  <c r="L23" i="2"/>
  <c r="O23" i="2" s="1"/>
  <c r="N23" i="2"/>
  <c r="Q23" i="2" s="1"/>
  <c r="M23" i="2"/>
  <c r="P23" i="2" s="1"/>
  <c r="M21" i="7"/>
  <c r="P21" i="7" s="1"/>
  <c r="M66" i="7"/>
  <c r="M43" i="7"/>
  <c r="P43" i="7" s="1"/>
  <c r="H8" i="9"/>
  <c r="F8" i="9"/>
  <c r="G8" i="9"/>
  <c r="M6" i="2"/>
  <c r="N6" i="2"/>
  <c r="L6" i="2"/>
  <c r="L28" i="2"/>
  <c r="O28" i="2" s="1"/>
  <c r="N28" i="2"/>
  <c r="Q28" i="2" s="1"/>
  <c r="M28" i="2"/>
  <c r="P28" i="2" s="1"/>
  <c r="N27" i="2"/>
  <c r="Q27" i="2" s="1"/>
  <c r="L27" i="2"/>
  <c r="O27" i="2" s="1"/>
  <c r="M27" i="2"/>
  <c r="P27" i="2" s="1"/>
  <c r="L20" i="2"/>
  <c r="O20" i="2" s="1"/>
  <c r="M20" i="2"/>
  <c r="P20" i="2" s="1"/>
  <c r="N20" i="2"/>
  <c r="Q20" i="2" s="1"/>
  <c r="M11" i="2"/>
  <c r="P11" i="2" s="1"/>
  <c r="L11" i="2"/>
  <c r="O11" i="2" s="1"/>
  <c r="N11" i="2"/>
  <c r="Q11" i="2" s="1"/>
  <c r="N67" i="2"/>
  <c r="Q67" i="2" s="1"/>
  <c r="N47" i="2"/>
  <c r="Q47" i="2" s="1"/>
  <c r="N15" i="2"/>
  <c r="Q15" i="2" s="1"/>
  <c r="L17" i="2"/>
  <c r="O17" i="2" s="1"/>
  <c r="L69" i="2"/>
  <c r="O69" i="2" s="1"/>
  <c r="M69" i="2"/>
  <c r="P69" i="2" s="1"/>
  <c r="L49" i="2"/>
  <c r="O49" i="2" s="1"/>
  <c r="M17" i="2"/>
  <c r="P17" i="2" s="1"/>
  <c r="M49" i="2"/>
  <c r="P49" i="2" s="1"/>
  <c r="N67" i="7"/>
  <c r="N44" i="7"/>
  <c r="Q44" i="7" s="1"/>
  <c r="C28" i="6"/>
  <c r="B28" i="6"/>
  <c r="C17" i="6"/>
  <c r="M38" i="7"/>
  <c r="B39" i="6"/>
  <c r="C39" i="6"/>
  <c r="B17" i="6"/>
  <c r="M16" i="7"/>
  <c r="L16" i="7"/>
  <c r="N60" i="7"/>
  <c r="D17" i="6"/>
  <c r="M60" i="7"/>
  <c r="N16" i="7"/>
  <c r="D28" i="6"/>
  <c r="L38" i="7"/>
  <c r="L60" i="7"/>
  <c r="D39" i="6"/>
  <c r="N38" i="7"/>
  <c r="M35" i="7"/>
  <c r="P35" i="7" s="1"/>
  <c r="L57" i="7"/>
  <c r="O57" i="7" s="1"/>
  <c r="M57" i="7"/>
  <c r="P57" i="7" s="1"/>
  <c r="L13" i="7"/>
  <c r="O13" i="7" s="1"/>
  <c r="L35" i="7"/>
  <c r="O35" i="7" s="1"/>
  <c r="M13" i="7"/>
  <c r="P13" i="7" s="1"/>
  <c r="Q16" i="7" l="1"/>
  <c r="B16" i="6" s="1"/>
  <c r="B14" i="6"/>
  <c r="B15" i="6" s="1"/>
  <c r="O6" i="2"/>
  <c r="H7" i="9" s="1"/>
  <c r="H5" i="9"/>
  <c r="H6" i="9" s="1"/>
  <c r="B36" i="6"/>
  <c r="B37" i="6" s="1"/>
  <c r="Q65" i="7"/>
  <c r="Q60" i="7"/>
  <c r="B38" i="6" s="1"/>
  <c r="Q67" i="7"/>
  <c r="Q63" i="7"/>
  <c r="O62" i="7"/>
  <c r="D36" i="6"/>
  <c r="D37" i="6" s="1"/>
  <c r="O64" i="7"/>
  <c r="O60" i="7"/>
  <c r="D38" i="6" s="1"/>
  <c r="P62" i="7"/>
  <c r="P64" i="7"/>
  <c r="P60" i="7"/>
  <c r="C38" i="6" s="1"/>
  <c r="C36" i="6"/>
  <c r="C37" i="6" s="1"/>
  <c r="P66" i="7"/>
  <c r="P16" i="7"/>
  <c r="C16" i="6" s="1"/>
  <c r="C14" i="6"/>
  <c r="C15" i="6" s="1"/>
  <c r="P38" i="7"/>
  <c r="C27" i="6" s="1"/>
  <c r="C25" i="6"/>
  <c r="C26" i="6" s="1"/>
  <c r="Q6" i="2"/>
  <c r="F7" i="9" s="1"/>
  <c r="F5" i="9"/>
  <c r="F6" i="9" s="1"/>
  <c r="Q38" i="7"/>
  <c r="B27" i="6" s="1"/>
  <c r="B25" i="6"/>
  <c r="B26" i="6" s="1"/>
  <c r="O16" i="7"/>
  <c r="D16" i="6" s="1"/>
  <c r="D14" i="6"/>
  <c r="D15" i="6" s="1"/>
  <c r="O38" i="7"/>
  <c r="D27" i="6" s="1"/>
  <c r="D25" i="6"/>
  <c r="D26" i="6" s="1"/>
  <c r="P6" i="2"/>
  <c r="G7" i="9" s="1"/>
  <c r="G5" i="9"/>
  <c r="G6" i="9" s="1"/>
</calcChain>
</file>

<file path=xl/comments1.xml><?xml version="1.0" encoding="utf-8"?>
<comments xmlns="http://schemas.openxmlformats.org/spreadsheetml/2006/main">
  <authors>
    <author>s397189</author>
  </authors>
  <commentList>
    <comment ref="B12" authorId="0" shapeId="0">
      <text>
        <r>
          <rPr>
            <b/>
            <sz val="8"/>
            <color indexed="81"/>
            <rFont val="Tahoma"/>
            <family val="2"/>
          </rPr>
          <t>The limit of detection:
If equipment previously detected, but no longer detects the agent, the limit of detection may approximate the worst-case concentration.
If the equipment detects a particular agent, the limit of detection is the best case and the concentration and associate risk could potentially be much higher than the limit of detection.</t>
        </r>
      </text>
    </comment>
  </commentList>
</comments>
</file>

<file path=xl/comments2.xml><?xml version="1.0" encoding="utf-8"?>
<comments xmlns="http://schemas.openxmlformats.org/spreadsheetml/2006/main">
  <authors>
    <author>s397189</author>
  </authors>
  <commentList>
    <comment ref="B4" authorId="0" shapeId="0">
      <text>
        <r>
          <rPr>
            <b/>
            <sz val="8"/>
            <color indexed="81"/>
            <rFont val="Tahoma"/>
            <family val="2"/>
          </rPr>
          <t>Mild effects following inhalation/ocular exposure include miosis, rhinorrhea, and tight chest.  These effects can occur in the absence of measurable ChE inhibition in the blood.</t>
        </r>
        <r>
          <rPr>
            <sz val="8"/>
            <color indexed="81"/>
            <rFont val="Tahoma"/>
            <family val="2"/>
          </rPr>
          <t xml:space="preserve">
</t>
        </r>
      </text>
    </comment>
    <comment ref="C4" authorId="0" shapeId="0">
      <text>
        <r>
          <rPr>
            <b/>
            <sz val="8"/>
            <color indexed="81"/>
            <rFont val="Tahoma"/>
            <family val="2"/>
          </rPr>
          <t xml:space="preserve">For nerve agents, severe effects include prostration, collapse, and/or convulsions. </t>
        </r>
        <r>
          <rPr>
            <b/>
            <sz val="8"/>
            <color indexed="10"/>
            <rFont val="Tahoma"/>
            <family val="2"/>
          </rPr>
          <t>Some deaths will occur.</t>
        </r>
        <r>
          <rPr>
            <b/>
            <sz val="8"/>
            <color indexed="81"/>
            <rFont val="Tahoma"/>
            <family val="2"/>
          </rPr>
          <t xml:space="preserve">
</t>
        </r>
        <r>
          <rPr>
            <sz val="8"/>
            <color indexed="81"/>
            <rFont val="Tahoma"/>
            <family val="2"/>
          </rPr>
          <t xml:space="preserve">
</t>
        </r>
      </text>
    </comment>
    <comment ref="F4" authorId="0" shapeId="0">
      <text>
        <r>
          <rPr>
            <b/>
            <sz val="8"/>
            <color indexed="81"/>
            <rFont val="Tahoma"/>
            <family val="2"/>
          </rPr>
          <t xml:space="preserve">Threshold effects for percutaneous vapor exposure
include slight, not necessarily significant, ChE inhibition and/or localized sweating. </t>
        </r>
        <r>
          <rPr>
            <sz val="8"/>
            <color indexed="81"/>
            <rFont val="Tahoma"/>
            <family val="2"/>
          </rPr>
          <t xml:space="preserve">
</t>
        </r>
      </text>
    </comment>
    <comment ref="G4" authorId="0" shapeId="0">
      <text>
        <r>
          <rPr>
            <b/>
            <sz val="8"/>
            <color indexed="81"/>
            <rFont val="Tahoma"/>
            <family val="2"/>
          </rPr>
          <t xml:space="preserve">For nerve agents, severe effects include prostration, collapse, and/or convulsions. </t>
        </r>
        <r>
          <rPr>
            <b/>
            <sz val="8"/>
            <color indexed="10"/>
            <rFont val="Tahoma"/>
            <family val="2"/>
          </rPr>
          <t>Some deaths will occur.</t>
        </r>
        <r>
          <rPr>
            <sz val="8"/>
            <color indexed="81"/>
            <rFont val="Tahoma"/>
            <family val="2"/>
          </rPr>
          <t xml:space="preserve">
</t>
        </r>
      </text>
    </comment>
    <comment ref="B11" authorId="0" shapeId="0">
      <text>
        <r>
          <rPr>
            <b/>
            <sz val="8"/>
            <color indexed="81"/>
            <rFont val="Tahoma"/>
            <family val="2"/>
          </rPr>
          <t>Mild effects following inhalation/ocular exposure include miosis, rhinorrhea, and tight chest.  These effects can occur in the absence of measurable ChE inhibition in the blood.</t>
        </r>
        <r>
          <rPr>
            <sz val="8"/>
            <color indexed="81"/>
            <rFont val="Tahoma"/>
            <family val="2"/>
          </rPr>
          <t xml:space="preserve">
</t>
        </r>
      </text>
    </comment>
    <comment ref="C11" authorId="0" shapeId="0">
      <text>
        <r>
          <rPr>
            <b/>
            <sz val="8"/>
            <color indexed="81"/>
            <rFont val="Tahoma"/>
            <family val="2"/>
          </rPr>
          <t xml:space="preserve">For nerve agents, severe effects include prostration, collapse, and/or convulsions. </t>
        </r>
        <r>
          <rPr>
            <b/>
            <sz val="8"/>
            <color indexed="10"/>
            <rFont val="Tahoma"/>
            <family val="2"/>
          </rPr>
          <t>Some deaths will occur.</t>
        </r>
        <r>
          <rPr>
            <sz val="8"/>
            <color indexed="81"/>
            <rFont val="Tahoma"/>
            <family val="2"/>
          </rPr>
          <t xml:space="preserve">
</t>
        </r>
      </text>
    </comment>
    <comment ref="B18" authorId="0" shapeId="0">
      <text>
        <r>
          <rPr>
            <b/>
            <sz val="8"/>
            <color indexed="81"/>
            <rFont val="Tahoma"/>
            <family val="2"/>
          </rPr>
          <t>Mild effects following inhalation/ocular exposure include miosis, rhinorrhea, and tight chest.  These effects can occur in the absence of measurable ChE inhibition in the blood.</t>
        </r>
        <r>
          <rPr>
            <sz val="8"/>
            <color indexed="81"/>
            <rFont val="Tahoma"/>
            <family val="2"/>
          </rPr>
          <t xml:space="preserve">
</t>
        </r>
      </text>
    </comment>
    <comment ref="C18" authorId="0" shapeId="0">
      <text>
        <r>
          <rPr>
            <b/>
            <sz val="8"/>
            <color indexed="81"/>
            <rFont val="Tahoma"/>
            <family val="2"/>
          </rPr>
          <t xml:space="preserve">For nerve agents, severe effects include prostration, collapse, and/or convulsions. </t>
        </r>
        <r>
          <rPr>
            <b/>
            <sz val="8"/>
            <color indexed="10"/>
            <rFont val="Tahoma"/>
            <family val="2"/>
          </rPr>
          <t>Some deaths will occur.</t>
        </r>
        <r>
          <rPr>
            <sz val="8"/>
            <color indexed="81"/>
            <rFont val="Tahoma"/>
            <family val="2"/>
          </rPr>
          <t xml:space="preserve">
</t>
        </r>
      </text>
    </comment>
    <comment ref="F18" authorId="0" shapeId="0">
      <text>
        <r>
          <rPr>
            <b/>
            <sz val="8"/>
            <color indexed="81"/>
            <rFont val="Tahoma"/>
            <family val="2"/>
          </rPr>
          <t xml:space="preserve">Threshold effects for percutaneous vapor exposure include slight, not necessarily significant, ChE inhibition and/or localized sweating. </t>
        </r>
        <r>
          <rPr>
            <sz val="8"/>
            <color indexed="81"/>
            <rFont val="Tahoma"/>
            <family val="2"/>
          </rPr>
          <t xml:space="preserve">
</t>
        </r>
      </text>
    </comment>
    <comment ref="G18" authorId="0" shapeId="0">
      <text>
        <r>
          <rPr>
            <b/>
            <sz val="8"/>
            <color indexed="81"/>
            <rFont val="Tahoma"/>
            <family val="2"/>
          </rPr>
          <t xml:space="preserve">For nerve agents, severe effects include prostration, collapse, and/or convulsions. </t>
        </r>
        <r>
          <rPr>
            <b/>
            <sz val="8"/>
            <color indexed="10"/>
            <rFont val="Tahoma"/>
            <family val="2"/>
          </rPr>
          <t>Some deaths will occur.</t>
        </r>
        <r>
          <rPr>
            <sz val="8"/>
            <color indexed="81"/>
            <rFont val="Tahoma"/>
            <family val="2"/>
          </rPr>
          <t xml:space="preserve">
</t>
        </r>
      </text>
    </comment>
    <comment ref="B26" authorId="0" shapeId="0">
      <text>
        <r>
          <rPr>
            <b/>
            <sz val="8"/>
            <color indexed="81"/>
            <rFont val="Tahoma"/>
            <family val="2"/>
          </rPr>
          <t>Note: Actual concentrations are compared to appropriate time-based AEGL without use of toxic load equation.</t>
        </r>
        <r>
          <rPr>
            <sz val="8"/>
            <color indexed="81"/>
            <rFont val="Tahoma"/>
            <family val="2"/>
          </rPr>
          <t xml:space="preserve">
</t>
        </r>
      </text>
    </comment>
  </commentList>
</comments>
</file>

<file path=xl/comments3.xml><?xml version="1.0" encoding="utf-8"?>
<comments xmlns="http://schemas.openxmlformats.org/spreadsheetml/2006/main">
  <authors>
    <author>s397189</author>
  </authors>
  <commentList>
    <comment ref="B4" authorId="0" shapeId="0">
      <text>
        <r>
          <rPr>
            <b/>
            <sz val="8"/>
            <color indexed="81"/>
            <rFont val="Tahoma"/>
            <family val="2"/>
          </rPr>
          <t>Mild effects consist of erythema and minimal conjunctivitis.</t>
        </r>
        <r>
          <rPr>
            <sz val="8"/>
            <color indexed="81"/>
            <rFont val="Tahoma"/>
            <family val="2"/>
          </rPr>
          <t xml:space="preserve">
</t>
        </r>
      </text>
    </comment>
    <comment ref="C4" authorId="0" shapeId="0">
      <text>
        <r>
          <rPr>
            <b/>
            <sz val="8"/>
            <color indexed="81"/>
            <rFont val="Tahoma"/>
            <family val="2"/>
          </rPr>
          <t>Severe effects following ocular exposure include pain, conjunctivitis, blepharospasm, and temporary blindness.</t>
        </r>
        <r>
          <rPr>
            <sz val="8"/>
            <color indexed="81"/>
            <rFont val="Tahoma"/>
            <family val="2"/>
          </rPr>
          <t xml:space="preserve">
</t>
        </r>
      </text>
    </comment>
    <comment ref="F4" authorId="0" shapeId="0">
      <text>
        <r>
          <rPr>
            <b/>
            <sz val="8"/>
            <color indexed="81"/>
            <rFont val="Tahoma"/>
            <family val="2"/>
          </rPr>
          <t>Mild effects include erythema, edema, pain, and itching - depending upon the agent.</t>
        </r>
      </text>
    </comment>
    <comment ref="G4" authorId="0" shapeId="0">
      <text>
        <r>
          <rPr>
            <b/>
            <sz val="8"/>
            <color indexed="81"/>
            <rFont val="Tahoma"/>
            <family val="2"/>
          </rPr>
          <t>Severe effects include vesication.</t>
        </r>
        <r>
          <rPr>
            <sz val="8"/>
            <color indexed="81"/>
            <rFont val="Tahoma"/>
            <family val="2"/>
          </rPr>
          <t xml:space="preserve">
</t>
        </r>
      </text>
    </comment>
    <comment ref="B11" authorId="0" shapeId="0">
      <text>
        <r>
          <rPr>
            <b/>
            <sz val="8"/>
            <color indexed="81"/>
            <rFont val="Tahoma"/>
            <family val="2"/>
          </rPr>
          <t>Mild effects consist of erythema and minimal conjunctivitis.</t>
        </r>
        <r>
          <rPr>
            <sz val="8"/>
            <color indexed="81"/>
            <rFont val="Tahoma"/>
            <family val="2"/>
          </rPr>
          <t xml:space="preserve">
</t>
        </r>
      </text>
    </comment>
    <comment ref="C11" authorId="0" shapeId="0">
      <text>
        <r>
          <rPr>
            <b/>
            <sz val="8"/>
            <color indexed="81"/>
            <rFont val="Tahoma"/>
            <family val="2"/>
          </rPr>
          <t>Severe effects following ocular exposure include pain, conjunctivitis, blepharospasm, and temporary blindness.</t>
        </r>
        <r>
          <rPr>
            <sz val="8"/>
            <color indexed="81"/>
            <rFont val="Tahoma"/>
            <family val="2"/>
          </rPr>
          <t xml:space="preserve">
</t>
        </r>
      </text>
    </comment>
    <comment ref="B18" authorId="0" shapeId="0">
      <text>
        <r>
          <rPr>
            <b/>
            <sz val="8"/>
            <color indexed="81"/>
            <rFont val="Tahoma"/>
            <family val="2"/>
          </rPr>
          <t>Mild effects consist of erythema and minimal conjunctivitis.</t>
        </r>
        <r>
          <rPr>
            <sz val="8"/>
            <color indexed="81"/>
            <rFont val="Tahoma"/>
            <family val="2"/>
          </rPr>
          <t xml:space="preserve">
</t>
        </r>
      </text>
    </comment>
    <comment ref="C18" authorId="0" shapeId="0">
      <text>
        <r>
          <rPr>
            <b/>
            <sz val="8"/>
            <color indexed="81"/>
            <rFont val="Tahoma"/>
            <family val="2"/>
          </rPr>
          <t>Severe effects following ocular exposure include pain, conjunctivitis, blepharospasm, and temporary blindness.</t>
        </r>
        <r>
          <rPr>
            <sz val="8"/>
            <color indexed="81"/>
            <rFont val="Tahoma"/>
            <family val="2"/>
          </rPr>
          <t xml:space="preserve">
</t>
        </r>
      </text>
    </comment>
    <comment ref="F18" authorId="0" shapeId="0">
      <text>
        <r>
          <rPr>
            <b/>
            <sz val="8"/>
            <color indexed="81"/>
            <rFont val="Tahoma"/>
            <family val="2"/>
          </rPr>
          <t>Mild effects include erythema, edema, pain, and itching - depending upon the agent.</t>
        </r>
      </text>
    </comment>
    <comment ref="G18" authorId="0" shapeId="0">
      <text>
        <r>
          <rPr>
            <b/>
            <sz val="8"/>
            <color indexed="81"/>
            <rFont val="Tahoma"/>
            <family val="2"/>
          </rPr>
          <t>Severe effects include vesication.</t>
        </r>
        <r>
          <rPr>
            <sz val="8"/>
            <color indexed="81"/>
            <rFont val="Tahoma"/>
            <family val="2"/>
          </rPr>
          <t xml:space="preserve">
</t>
        </r>
      </text>
    </comment>
  </commentList>
</comments>
</file>

<file path=xl/comments4.xml><?xml version="1.0" encoding="utf-8"?>
<comments xmlns="http://schemas.openxmlformats.org/spreadsheetml/2006/main">
  <authors>
    <author>USAF User</author>
  </authors>
  <commentList>
    <comment ref="C4" authorId="0" shapeId="0">
      <text>
        <r>
          <rPr>
            <sz val="8"/>
            <color indexed="81"/>
            <rFont val="Tahoma"/>
            <family val="2"/>
          </rPr>
          <t>No probit slope available - cannot predict % effected other than 50%.  Value is the percent of the dosage for the indicated 50% effect (lethal, severe skin, mild skin, severe occular, mild occular).</t>
        </r>
      </text>
    </comment>
  </commentList>
</comments>
</file>

<file path=xl/comments5.xml><?xml version="1.0" encoding="utf-8"?>
<comments xmlns="http://schemas.openxmlformats.org/spreadsheetml/2006/main">
  <authors>
    <author>s397189</author>
  </authors>
  <commentList>
    <comment ref="A12" authorId="0" shapeId="0">
      <text>
        <r>
          <rPr>
            <b/>
            <sz val="8"/>
            <color indexed="81"/>
            <rFont val="Tahoma"/>
            <family val="2"/>
          </rPr>
          <t>Concepts critical to understanding this methodology are radiation exposure status (RES) and operational exposure guidance (OEG). The RES is defined as the average exposure of a platoon or larger unit, categorized by levels of performance decrement, or decreasing level of unit mission effectiveness. The OEG is the commander's tool for expressing his willingness to accept risk expressed as a radiation dose equivalent or absorbed dose. The commander has the responsibility of defining the level of exposure that will not be exceeded in performing a given mission.</t>
        </r>
        <r>
          <rPr>
            <sz val="8"/>
            <color indexed="81"/>
            <rFont val="Tahoma"/>
            <family val="2"/>
          </rPr>
          <t xml:space="preserve">
</t>
        </r>
      </text>
    </comment>
  </commentList>
</comments>
</file>

<file path=xl/comments6.xml><?xml version="1.0" encoding="utf-8"?>
<comments xmlns="http://schemas.openxmlformats.org/spreadsheetml/2006/main">
  <authors>
    <author>s397189</author>
  </authors>
  <commentList>
    <comment ref="B12" authorId="0" shapeId="0">
      <text>
        <r>
          <rPr>
            <b/>
            <sz val="8"/>
            <color indexed="81"/>
            <rFont val="Tahoma"/>
            <family val="2"/>
          </rPr>
          <t>Use appropriate calibration curve</t>
        </r>
      </text>
    </comment>
    <comment ref="B17" authorId="0" shapeId="0">
      <text>
        <r>
          <rPr>
            <b/>
            <sz val="8"/>
            <color indexed="81"/>
            <rFont val="Tahoma"/>
            <family val="2"/>
          </rPr>
          <t>If count is approximately half this value in 30 minutes, background is predominantly radon.</t>
        </r>
        <r>
          <rPr>
            <sz val="8"/>
            <color indexed="81"/>
            <rFont val="Tahoma"/>
            <family val="2"/>
          </rPr>
          <t xml:space="preserve">
</t>
        </r>
      </text>
    </comment>
  </commentList>
</comments>
</file>

<file path=xl/sharedStrings.xml><?xml version="1.0" encoding="utf-8"?>
<sst xmlns="http://schemas.openxmlformats.org/spreadsheetml/2006/main" count="2615" uniqueCount="636">
  <si>
    <t xml:space="preserve">To find the toxic load equation for other XX levels, use Eqn [4] above. </t>
  </si>
  <si>
    <t xml:space="preserve">Toxic Load Equations for inhalation (C in mg/m3 and T in minutes): </t>
  </si>
  <si>
    <t xml:space="preserve">LC50    </t>
  </si>
  <si>
    <t xml:space="preserve">C1.5T = 146.4 </t>
  </si>
  <si>
    <t xml:space="preserve">probit slope (kC) equals 12 for lethality </t>
  </si>
  <si>
    <t xml:space="preserve">For XX = 84%, Z = 1 ===&gt;  (C1.5T)84 = (146.4) * antilog( (1.5)(1)/(12)) = 195.2 </t>
  </si>
  <si>
    <t xml:space="preserve">For XX = 16%, Z = -1 ===&gt;  (C1.5T)16 = (146.4) * antilog( (1.5)(-1)/(12)) = 109.8 </t>
  </si>
  <si>
    <t xml:space="preserve">probit slope equals 12 for lethality and severe effects, and 10 for miosis. </t>
  </si>
  <si>
    <r>
      <t>The following equations and probit slope values were used in preparing the above chart</t>
    </r>
    <r>
      <rPr>
        <sz val="14"/>
        <rFont val="Arial"/>
        <family val="2"/>
      </rPr>
      <t xml:space="preserve">. </t>
    </r>
  </si>
  <si>
    <t>EC50 (severe)</t>
  </si>
  <si>
    <t xml:space="preserve">C1.5T = 88.39 </t>
  </si>
  <si>
    <t>EC50 (miosis)</t>
  </si>
  <si>
    <t xml:space="preserve">C1.6T = 0.152 </t>
  </si>
  <si>
    <r>
      <t xml:space="preserve">For comparison, Cresthull, </t>
    </r>
    <r>
      <rPr>
        <i/>
        <sz val="14"/>
        <rFont val="Arial"/>
        <family val="2"/>
      </rPr>
      <t>et al</t>
    </r>
    <r>
      <rPr>
        <sz val="14"/>
        <rFont val="Arial"/>
        <family val="2"/>
      </rPr>
      <t xml:space="preserve">. (1957) arrived at the following LCT50 values for monkeys: </t>
    </r>
  </si>
  <si>
    <t xml:space="preserve">2 minutes:  42 mg-min/m3 </t>
  </si>
  <si>
    <t xml:space="preserve">10 minutes:  74 mg-min/m3 </t>
  </si>
  <si>
    <r>
      <t xml:space="preserve">For G-agent inhalation, log(LCT50) values are inversely proportional to species log(body mass).  This was demonstrated by Reutter-Wade (1994), James, </t>
    </r>
    <r>
      <rPr>
        <i/>
        <sz val="14"/>
        <rFont val="Arial"/>
        <family val="2"/>
      </rPr>
      <t>et al</t>
    </r>
    <r>
      <rPr>
        <sz val="14"/>
        <rFont val="Arial"/>
        <family val="2"/>
      </rPr>
      <t xml:space="preserve">. (1991, unpublished), Sommerville (2001) and other historical animal G-agent data.  Thus, a sanity check on the human LCT50 estimates is to see whether they are less than the monkey LCT50 estimates.  The monkey estimates for GA, GB and GF from Cresthull, </t>
    </r>
    <r>
      <rPr>
        <i/>
        <sz val="14"/>
        <rFont val="Arial"/>
        <family val="2"/>
      </rPr>
      <t>et al</t>
    </r>
    <r>
      <rPr>
        <sz val="14"/>
        <rFont val="Arial"/>
        <family val="2"/>
      </rPr>
      <t xml:space="preserve">. (1957) are included for comparison in the note sections of the GA, GB and GF charts.  Also, the 2 minute values from Grotte-Yang (2001) are shown in the table for comparison (noted by the (GY)).  The units used for all CT values are mg-min/m3.   </t>
    </r>
  </si>
  <si>
    <t xml:space="preserve">probit slope equals 12 for lethality and severe effects, and 10 for miosis (see note pages on GB charts for more details). </t>
  </si>
  <si>
    <t xml:space="preserve">Toxic Load Equations (C in mg/m3 and T in minutes): </t>
  </si>
  <si>
    <t xml:space="preserve">C1.5T = 414.1 </t>
  </si>
  <si>
    <t xml:space="preserve">C1.5T = 250.0 </t>
  </si>
  <si>
    <t xml:space="preserve">For comparison, Cresthull, et al. (1957) arrived at the following LCT50 values for monkeys: </t>
  </si>
  <si>
    <t xml:space="preserve">2 minutes:  135 mg-min/m3 </t>
  </si>
  <si>
    <t xml:space="preserve">10 minutes:  187 mg-min/m3 </t>
  </si>
  <si>
    <t>GB Inhalation/Occular Values</t>
  </si>
  <si>
    <t>GA Inhalation/Occular Values</t>
  </si>
  <si>
    <t xml:space="preserve">probit slope equals 12 for lethality and severe effects, and 10 for miosis (see note pages for GB charts for more details).  The above equations for GD are the same as the ones for GF. </t>
  </si>
  <si>
    <t xml:space="preserve">C1.25T = 71.6 </t>
  </si>
  <si>
    <t xml:space="preserve">C1.25T = 47.0 </t>
  </si>
  <si>
    <t xml:space="preserve">C1.4T = 0.080 </t>
  </si>
  <si>
    <t>GD Inhalation/Occular Values</t>
  </si>
  <si>
    <t xml:space="preserve">probit slope equals 12 for lethality and severe effects, and 10 for miosis (see note pages on GB charts for more details). The above equations for GF are the same as the ones for GD. </t>
  </si>
  <si>
    <t xml:space="preserve">2 minutes:  75 mg-min/m3 </t>
  </si>
  <si>
    <t xml:space="preserve">10 minutes:  130 mg-min/m3 </t>
  </si>
  <si>
    <t>GF Inhalation/Occular Values</t>
  </si>
  <si>
    <t xml:space="preserve">probit slope equals 6 for lethality and severe effects, and 4 for miosis.  All of the Grotte-Yang (2001) VX values and probit slopes were used unchanged, with Haber’s Law being used to model the time-dependency of VX toxicity. </t>
  </si>
  <si>
    <t xml:space="preserve">C1.0T = 15 </t>
  </si>
  <si>
    <t xml:space="preserve">C1.0T = 10 </t>
  </si>
  <si>
    <t xml:space="preserve">C1.0T = 0.1 </t>
  </si>
  <si>
    <t>VX Inhalation/Occular Values</t>
  </si>
  <si>
    <t xml:space="preserve">IH LC50    </t>
  </si>
  <si>
    <t xml:space="preserve">C1.5T = 22360 </t>
  </si>
  <si>
    <t>PC vapor EC50 (severe)</t>
  </si>
  <si>
    <t xml:space="preserve">C1.0T = 500 </t>
  </si>
  <si>
    <t>PC vapor EC50 (severe) (hot)</t>
  </si>
  <si>
    <t xml:space="preserve">C1.0T = 150 </t>
  </si>
  <si>
    <t>OC vapor EC50 (severe ocular)</t>
  </si>
  <si>
    <t xml:space="preserve">C1.0T = 75 </t>
  </si>
  <si>
    <t xml:space="preserve">The EC16 and EC84 region for severe effects (hot conditions) is not shown in above plot (due to lack of space). </t>
  </si>
  <si>
    <t xml:space="preserve">Probit slope equals 5 for IH lethality; 3 for severe effects (PC vapor); and 6 for severe ocular effects (OC vapor).  All of the Grotte-Yang (2001) values (for 2 minute inhalation and 30 minute PC vapor) and probit slopes were used unchanged (except for probit slope for OC vapor--changed from 3 to 6).  Note that hot temperatures lowers the PC vapor EC50 (severe). </t>
  </si>
  <si>
    <t>HD Inhalation/Occular/Percutanious Values</t>
  </si>
  <si>
    <t>Dosage</t>
  </si>
  <si>
    <t>Concentration</t>
  </si>
  <si>
    <t>Time</t>
  </si>
  <si>
    <t>GA</t>
  </si>
  <si>
    <t>Agent</t>
  </si>
  <si>
    <t>Effect</t>
  </si>
  <si>
    <t>LC 16</t>
  </si>
  <si>
    <t>LC 30</t>
  </si>
  <si>
    <t>LC 40</t>
  </si>
  <si>
    <t>LC 50</t>
  </si>
  <si>
    <t>LC 60</t>
  </si>
  <si>
    <t>LC 70</t>
  </si>
  <si>
    <t>LC 84</t>
  </si>
  <si>
    <t>EC 30</t>
  </si>
  <si>
    <t>EC 40</t>
  </si>
  <si>
    <t>EC 50</t>
  </si>
  <si>
    <t>EC 60</t>
  </si>
  <si>
    <t>EC 70</t>
  </si>
  <si>
    <t>EC 84</t>
  </si>
  <si>
    <t>EC 16</t>
  </si>
  <si>
    <t>Th 30</t>
  </si>
  <si>
    <t>Th 40</t>
  </si>
  <si>
    <t>Th 50</t>
  </si>
  <si>
    <t>Th 60</t>
  </si>
  <si>
    <t>Th 70</t>
  </si>
  <si>
    <t>Th 84</t>
  </si>
  <si>
    <t>Th 16</t>
  </si>
  <si>
    <t>GB</t>
  </si>
  <si>
    <t>GD</t>
  </si>
  <si>
    <t>GF</t>
  </si>
  <si>
    <t>VX</t>
  </si>
  <si>
    <t>HD</t>
  </si>
  <si>
    <t>Exponent</t>
  </si>
  <si>
    <t>Probit Slope</t>
  </si>
  <si>
    <t>C= mg/M3; T=Min</t>
  </si>
  <si>
    <t>MUST CHECK - UNITS must be in ug/M3</t>
  </si>
  <si>
    <t xml:space="preserve">probit slope equals 6 for lethality&amp;severe effects; 4 for miosis </t>
  </si>
  <si>
    <t xml:space="preserve">probit slope equals 12 for lethality&amp;severe effects; 10 for miosis </t>
  </si>
  <si>
    <t>Exponent (n)</t>
  </si>
  <si>
    <t>Concentration (mg/M3)</t>
  </si>
  <si>
    <t>Calculated Dosage (mg-min/M3)</t>
  </si>
  <si>
    <t>Exposure Duration (min)</t>
  </si>
  <si>
    <t>Dosage (Toxicological Effects mg-min/M3)</t>
  </si>
  <si>
    <t>Percentile Z Value</t>
  </si>
  <si>
    <t>LC/EC</t>
  </si>
  <si>
    <t>Th</t>
  </si>
  <si>
    <t>Incapacitation Risk (EC)</t>
  </si>
  <si>
    <t>Lethal Risk (LC)</t>
  </si>
  <si>
    <t>Threshold Risk (Th)</t>
  </si>
  <si>
    <t>LC/EC/Th</t>
  </si>
  <si>
    <t>Th Dose</t>
  </si>
  <si>
    <t>EC Dose</t>
  </si>
  <si>
    <t>LC Dose</t>
  </si>
  <si>
    <t>Instructions for Using the Risk Assessment Computation Sheet</t>
  </si>
  <si>
    <t>Step # 1</t>
  </si>
  <si>
    <t>mg/M3</t>
  </si>
  <si>
    <t>Concentration Conversion</t>
  </si>
  <si>
    <t>Time Conversion</t>
  </si>
  <si>
    <t>Hour</t>
  </si>
  <si>
    <t xml:space="preserve">Day </t>
  </si>
  <si>
    <t>Week</t>
  </si>
  <si>
    <t>Minutes</t>
  </si>
  <si>
    <t>Second</t>
  </si>
  <si>
    <t>Unit</t>
  </si>
  <si>
    <t>Enter PPM Value Here</t>
  </si>
  <si>
    <t>Enter Time Unit Here</t>
  </si>
  <si>
    <t>Step # 2</t>
  </si>
  <si>
    <t>Select the identified CW agent inside the scroll box</t>
  </si>
  <si>
    <t xml:space="preserve">Tabun(GA)162.3 g/mol </t>
  </si>
  <si>
    <t xml:space="preserve">Sarin (GB) 140.1 g/mol </t>
  </si>
  <si>
    <t xml:space="preserve">Soman (GD) 182.78 </t>
  </si>
  <si>
    <t>Cyclosarin (GF) 180.2 g/mol</t>
  </si>
  <si>
    <t xml:space="preserve">VX  267.38 g/mol </t>
  </si>
  <si>
    <t xml:space="preserve">HD 159.08 g/mol </t>
  </si>
  <si>
    <t>Step # 3</t>
  </si>
  <si>
    <t>Risk @ Calculated Dosage</t>
  </si>
  <si>
    <t>Calculated Dosage            (mg-min/M3)</t>
  </si>
  <si>
    <t>Dose Required for Percentile Response</t>
  </si>
  <si>
    <r>
      <t>Note:  The calculated dosage is determined by applying the Toxic Load Equation C</t>
    </r>
    <r>
      <rPr>
        <b/>
        <vertAlign val="superscript"/>
        <sz val="10"/>
        <rFont val="Arial"/>
        <family val="2"/>
      </rPr>
      <t>n</t>
    </r>
    <r>
      <rPr>
        <b/>
        <sz val="10"/>
        <rFont val="Arial"/>
        <family val="2"/>
      </rPr>
      <t>T</t>
    </r>
  </si>
  <si>
    <t xml:space="preserve">Step # 1                                                            Select CW Agent </t>
  </si>
  <si>
    <t>Step # 4 Enter Exposure Duration</t>
  </si>
  <si>
    <t>Step # 3 Enter Concentration</t>
  </si>
  <si>
    <t>(Time Unit is Minutes)</t>
  </si>
  <si>
    <r>
      <t xml:space="preserve">Enter the current temperature:  </t>
    </r>
    <r>
      <rPr>
        <b/>
        <sz val="10"/>
        <rFont val="Arial"/>
        <family val="2"/>
      </rPr>
      <t>If the units are degree F, check the box below</t>
    </r>
  </si>
  <si>
    <r>
      <t xml:space="preserve">Enter the measured CW agent concentration:  </t>
    </r>
    <r>
      <rPr>
        <b/>
        <sz val="10"/>
        <rFont val="Arial"/>
        <family val="2"/>
      </rPr>
      <t>If the units are in PPM, check the box below</t>
    </r>
  </si>
  <si>
    <t>Step # 4</t>
  </si>
  <si>
    <r>
      <t xml:space="preserve">Enter the expected exposure duration:  </t>
    </r>
    <r>
      <rPr>
        <b/>
        <sz val="10"/>
        <rFont val="Arial"/>
        <family val="2"/>
      </rPr>
      <t>The units must be in minutes</t>
    </r>
  </si>
  <si>
    <t>Based on the entries made in steps 1-4 above, the risk assessment program automatically calculates the expected exposure dose and identifies the percentile of expected effects for Threshold, Incapacitation and lethal</t>
  </si>
  <si>
    <r>
      <t xml:space="preserve">Note:  The risk at the calculated dose ranges between 16% and 84% (represents </t>
    </r>
    <r>
      <rPr>
        <b/>
        <u/>
        <sz val="10"/>
        <rFont val="Arial"/>
        <family val="2"/>
      </rPr>
      <t>+</t>
    </r>
    <r>
      <rPr>
        <b/>
        <sz val="10"/>
        <rFont val="Arial"/>
        <family val="2"/>
      </rPr>
      <t xml:space="preserve"> 1SD)</t>
    </r>
  </si>
  <si>
    <t>Note:  Dose required for percentile response coresponds to the above mentioned risk ranges</t>
  </si>
  <si>
    <t>Probit slope equals 5 for IH lethality; 3 for severe effects (PC vapor); and 6 for severe ocular effects (OC vapor).</t>
  </si>
  <si>
    <t>IH</t>
  </si>
  <si>
    <t>PC</t>
  </si>
  <si>
    <t>HOT</t>
  </si>
  <si>
    <t>OC</t>
  </si>
  <si>
    <t>LC</t>
  </si>
  <si>
    <t>Inhalation Lethal Risk (LC)</t>
  </si>
  <si>
    <t>Occular Serious Risk (EC)</t>
  </si>
  <si>
    <r>
      <t>l</t>
    </r>
    <r>
      <rPr>
        <b/>
        <sz val="12"/>
        <color indexed="62"/>
        <rFont val="Helvetica"/>
        <family val="2"/>
      </rPr>
      <t xml:space="preserve">For IH exposures, enclosed toxicity estimates assume that MV = 15 liters/min (corresponds to mild activity) </t>
    </r>
  </si>
  <si>
    <r>
      <t>¡</t>
    </r>
    <r>
      <rPr>
        <b/>
        <sz val="12"/>
        <color indexed="62"/>
        <rFont val="Helvetica"/>
        <family val="2"/>
      </rPr>
      <t xml:space="preserve">Toxicity needs to be adjusted for other MV values </t>
    </r>
  </si>
  <si>
    <r>
      <t>n</t>
    </r>
    <r>
      <rPr>
        <b/>
        <sz val="12"/>
        <color indexed="62"/>
        <rFont val="Helvetica"/>
        <family val="2"/>
      </rPr>
      <t xml:space="preserve">At rest:  MV = 10 liters/min </t>
    </r>
  </si>
  <si>
    <r>
      <t>n</t>
    </r>
    <r>
      <rPr>
        <b/>
        <sz val="12"/>
        <color indexed="62"/>
        <rFont val="Helvetica"/>
        <family val="2"/>
      </rPr>
      <t xml:space="preserve">Moderate activity:  MV = 40 liters/min </t>
    </r>
  </si>
  <si>
    <r>
      <t>l</t>
    </r>
    <r>
      <rPr>
        <b/>
        <sz val="12"/>
        <color indexed="62"/>
        <rFont val="Helvetica"/>
        <family val="2"/>
      </rPr>
      <t xml:space="preserve">Conversion of toxicity estimates for other MV values involves a linear relationship up to 50 liters/min </t>
    </r>
  </si>
  <si>
    <r>
      <t>l</t>
    </r>
    <r>
      <rPr>
        <b/>
        <sz val="12"/>
        <color indexed="62"/>
        <rFont val="Helvetica"/>
        <family val="2"/>
      </rPr>
      <t xml:space="preserve">Example: </t>
    </r>
  </si>
  <si>
    <r>
      <t>¡</t>
    </r>
    <r>
      <rPr>
        <b/>
        <sz val="12"/>
        <color indexed="62"/>
        <rFont val="Helvetica"/>
        <family val="2"/>
      </rPr>
      <t xml:space="preserve">If LC50 = 100 mg/m3 at MV = 15 liters/min, then at MV = 30 liters/min, LC50 = (100 mg/m3) x (15/30) = 50 mg/m3  </t>
    </r>
  </si>
  <si>
    <t>Risk Assessment Calculations for Light Work</t>
  </si>
  <si>
    <t>Risk Assessment Calculations for Moderate Work</t>
  </si>
  <si>
    <t>Risk Assessment Calculations for Heavy Work</t>
  </si>
  <si>
    <t>Risk Assessment of HD Agent Exposure and Effect</t>
  </si>
  <si>
    <t>Light Work Level</t>
  </si>
  <si>
    <t>Moderate Work Level</t>
  </si>
  <si>
    <t>Heavy Work Level</t>
  </si>
  <si>
    <t xml:space="preserve">Step # 2  Enter Temperature                                         </t>
  </si>
  <si>
    <t>(If Unit is Degrees F, Check Box Below)</t>
  </si>
  <si>
    <t>HD Perc Vapor</t>
  </si>
  <si>
    <t>HD (Inh &amp; Occ)</t>
  </si>
  <si>
    <t>HD (Inh/Occ)</t>
  </si>
  <si>
    <t>HD (PC Vapor)</t>
  </si>
  <si>
    <t>HD (PC Vapor (Hot))</t>
  </si>
  <si>
    <t>EC</t>
  </si>
  <si>
    <t>HD Hot Perc Vapor</t>
  </si>
  <si>
    <t>(Select Appropriate Unit With Button Below)</t>
  </si>
  <si>
    <r>
      <t>C</t>
    </r>
    <r>
      <rPr>
        <vertAlign val="superscript"/>
        <sz val="14"/>
        <rFont val="Arial"/>
        <family val="2"/>
      </rPr>
      <t>1.5</t>
    </r>
    <r>
      <rPr>
        <sz val="14"/>
        <rFont val="Arial"/>
        <family val="2"/>
      </rPr>
      <t xml:space="preserve">T = 146.4 </t>
    </r>
  </si>
  <si>
    <r>
      <t>C</t>
    </r>
    <r>
      <rPr>
        <vertAlign val="superscript"/>
        <sz val="14"/>
        <rFont val="Arial"/>
        <family val="2"/>
      </rPr>
      <t>1.5</t>
    </r>
    <r>
      <rPr>
        <sz val="14"/>
        <rFont val="Arial"/>
        <family val="2"/>
      </rPr>
      <t xml:space="preserve">T = 88.39 </t>
    </r>
  </si>
  <si>
    <r>
      <t>C</t>
    </r>
    <r>
      <rPr>
        <vertAlign val="superscript"/>
        <sz val="14"/>
        <rFont val="Arial"/>
        <family val="2"/>
      </rPr>
      <t>1.6</t>
    </r>
    <r>
      <rPr>
        <sz val="14"/>
        <rFont val="Arial"/>
        <family val="2"/>
      </rPr>
      <t xml:space="preserve">T = 0.152 </t>
    </r>
  </si>
  <si>
    <t>TH 16</t>
  </si>
  <si>
    <t>TH 30</t>
  </si>
  <si>
    <t>TH 40</t>
  </si>
  <si>
    <t>TH 50</t>
  </si>
  <si>
    <t>TH 60</t>
  </si>
  <si>
    <t>TH 70</t>
  </si>
  <si>
    <t>TH 84</t>
  </si>
  <si>
    <t>HD - IH</t>
  </si>
  <si>
    <t>HD - OC Severe</t>
  </si>
  <si>
    <t>HD - OC Mild</t>
  </si>
  <si>
    <t>HD - PC</t>
  </si>
  <si>
    <t>HD - PC (HOT)</t>
  </si>
  <si>
    <t>HD - OC</t>
  </si>
  <si>
    <t xml:space="preserve"> HD -PC Hot</t>
  </si>
  <si>
    <t>TH/EC</t>
  </si>
  <si>
    <t>LC/EC/TH</t>
  </si>
  <si>
    <t>Occular Mild Risk (TH)</t>
  </si>
  <si>
    <t>Threshold Risk (TH)</t>
  </si>
  <si>
    <t>GA - PC</t>
  </si>
  <si>
    <t>GA - PC (HOT)</t>
  </si>
  <si>
    <t>PC (HOT)</t>
  </si>
  <si>
    <t>GB - PC</t>
  </si>
  <si>
    <t>GB - PC (HOT)</t>
  </si>
  <si>
    <t>GD/GF</t>
  </si>
  <si>
    <t>VX - PC</t>
  </si>
  <si>
    <t>VX - PC (HOT)</t>
  </si>
  <si>
    <t>Inhalation/Ocular</t>
  </si>
  <si>
    <t>Percutaneous Vapor</t>
  </si>
  <si>
    <t>Percutaneous Vapor (HOT)</t>
  </si>
  <si>
    <t>AEGL1</t>
  </si>
  <si>
    <t>AEGL2</t>
  </si>
  <si>
    <t>AEGL3</t>
  </si>
  <si>
    <t xml:space="preserve">Step # 2  
Enter Temperature                                         </t>
  </si>
  <si>
    <t>Step # 4 
Enter Exposure Duration</t>
  </si>
  <si>
    <t>(If Unit is ppm, Check Box Below)</t>
  </si>
  <si>
    <t>BELOW AEGL1</t>
  </si>
  <si>
    <t>EXCEEDS AEGL1</t>
  </si>
  <si>
    <t>EXCEEDS AEGL2</t>
  </si>
  <si>
    <t>EXCEEDS AEGL3</t>
  </si>
  <si>
    <t>Above AEGL 1, but below AEGL 2 - May begin to cause minor miosis, possible runny nose; no permanent effects.</t>
  </si>
  <si>
    <t>Below AEGL 1, no observed adverse effects for the general population.</t>
  </si>
  <si>
    <t>AEGL Comparison</t>
  </si>
  <si>
    <t>AEGL CALCULATIONS</t>
  </si>
  <si>
    <t>Lethal Risk
(LC)</t>
  </si>
  <si>
    <t>Lethal Risk 
(LC)</t>
  </si>
  <si>
    <t>Lethal Risk
 (LC)</t>
  </si>
  <si>
    <t>Threshold Risk 
(TH)</t>
  </si>
  <si>
    <t>N/A</t>
  </si>
  <si>
    <t>Unlike many other agents, for which clothing affords some protection against a liquid agent, clothing may enhance the potency of GB liquid on the skin. It is hypothesized that clothing retards evaporation, thereby increasing the effective dose.</t>
  </si>
  <si>
    <t>Note: Calculations ignore agent selection; this is handles on the risk display sheet (Nerve)</t>
  </si>
  <si>
    <t>Threshold Risk
 (PC TH)</t>
  </si>
  <si>
    <t>Severe Effects Risk (PC EC)</t>
  </si>
  <si>
    <t>Lethal Risk
 (PC LC)</t>
  </si>
  <si>
    <t>HN-1, HN-2, HN-3, HT</t>
  </si>
  <si>
    <t>HN-1, HN-2, HN-3, HT - PC</t>
  </si>
  <si>
    <t>HN-1, HN-2, HN-3, HT - PC (HOT)</t>
  </si>
  <si>
    <t>Unknown</t>
  </si>
  <si>
    <t>AGENTS WITHOUT DEFINED PROBIT SLOPE; TOXIC LOAD EXPONENT ASSUMED = 1</t>
  </si>
  <si>
    <t>HN/HT</t>
  </si>
  <si>
    <t>Percutaneous Vapor - Mild Skin Effects</t>
  </si>
  <si>
    <t>Percutaneous Vapor - Severe Skin Vesication</t>
  </si>
  <si>
    <t>Percutaneous Vapor (Hot) - Severe Skin Vesication</t>
  </si>
  <si>
    <t>Percutaneous Vapor (Hot) - Mild Skin</t>
  </si>
  <si>
    <t>Dose</t>
  </si>
  <si>
    <t>LCt 50 for Percutaneous Vapor - Lethal Effects</t>
  </si>
  <si>
    <t>LCt 50 for Inhalation - Lethal Effects</t>
  </si>
  <si>
    <t>ECt 50 for Percutaneous Vapor - Severe Skin Vesication</t>
  </si>
  <si>
    <t>ECt 50 for Percutaneous Vapor (Hot) - Severe Skin Vesication</t>
  </si>
  <si>
    <t>ECt 50 for Percutaneous Vapor - Mild Skin Effects</t>
  </si>
  <si>
    <t>ECt 50 for Percutaneous Vapor (Hot) - Mild Skin</t>
  </si>
  <si>
    <t>LCt 50 for Percutaneous Vapor (Hot) - Lethal Effects</t>
  </si>
  <si>
    <t>L</t>
  </si>
  <si>
    <t>Percent of Concentration for Effect</t>
  </si>
  <si>
    <t>L - PC</t>
  </si>
  <si>
    <t>L - PC (HOT)</t>
  </si>
  <si>
    <t>Percent of Value for Indicated Effect</t>
  </si>
  <si>
    <t>HN-2</t>
  </si>
  <si>
    <t>HN-3</t>
  </si>
  <si>
    <t>HT</t>
  </si>
  <si>
    <t>HN-1</t>
  </si>
  <si>
    <t>Sequence</t>
  </si>
  <si>
    <t>MW</t>
  </si>
  <si>
    <t>Note: This display is different than for those CWAs with probit slopes.  The percentage indicated is based on the ratio of the calculated dosage to the dosage for 50% effect (either lethal via inhalation of percutaneous vapor, severe or mild skin effects, severe or mild occular effects.  This chart automatically adjusts for temperatures above 85 degrees Farenheit.  No direct determination on percent effect at other calculated dosages is possible due to unknown probit slope.</t>
  </si>
  <si>
    <t>Agents without Defined Probit Slope</t>
  </si>
  <si>
    <t>M256A1</t>
  </si>
  <si>
    <t>M256A2</t>
  </si>
  <si>
    <t>M-22 Acada</t>
  </si>
  <si>
    <t>M-90</t>
  </si>
  <si>
    <t>CAM</t>
  </si>
  <si>
    <t>ICAM</t>
  </si>
  <si>
    <r>
      <t>Step # 3 
Enter Concentration (mg/m</t>
    </r>
    <r>
      <rPr>
        <b/>
        <vertAlign val="superscript"/>
        <sz val="10"/>
        <rFont val="Arial"/>
        <family val="2"/>
      </rPr>
      <t>3</t>
    </r>
    <r>
      <rPr>
        <b/>
        <sz val="10"/>
        <rFont val="Arial"/>
        <family val="2"/>
      </rPr>
      <t>)</t>
    </r>
  </si>
  <si>
    <t>HAPSITE TRIBED METHOD (gc_cb1m)</t>
  </si>
  <si>
    <t>HAPSITE TRIBED METHOD (gc_cb5m)</t>
  </si>
  <si>
    <t>HAPSITE TRIBED METHOD (gc_cb20m)</t>
  </si>
  <si>
    <t>TVA1000B FID</t>
  </si>
  <si>
    <t>TVA1000B PID</t>
  </si>
  <si>
    <t>HAPSITE SURVEY MODE (MS only)</t>
  </si>
  <si>
    <t>DETECTION LIMITS</t>
  </si>
  <si>
    <t xml:space="preserve">Published Detection Limit 
for Selected Agent                                                        </t>
  </si>
  <si>
    <t>Use this Section to Determine and Use the Detection Limit for a Particular Equipment or Method</t>
  </si>
  <si>
    <t>RES</t>
  </si>
  <si>
    <t>Actions</t>
  </si>
  <si>
    <t>1A</t>
  </si>
  <si>
    <t>1B</t>
  </si>
  <si>
    <t>1C</t>
  </si>
  <si>
    <t>1D</t>
  </si>
  <si>
    <t>1E</t>
  </si>
  <si>
    <t>Select Equipment/Method</t>
  </si>
  <si>
    <t>Draeger CDS Kit 1 and 5</t>
  </si>
  <si>
    <t>STEP 2: SELECT ALLOWABLE RADIATION DOSE FOR OPERATIONAL DECISION</t>
  </si>
  <si>
    <t>STEP 3:  CALCULATE STAY TIME</t>
  </si>
  <si>
    <t>10</t>
  </si>
  <si>
    <t>5</t>
  </si>
  <si>
    <t>No Risk</t>
  </si>
  <si>
    <t>Normal Risk</t>
  </si>
  <si>
    <t>Minimal Risk</t>
  </si>
  <si>
    <t>Limited Risk</t>
  </si>
  <si>
    <t>Increased Risk</t>
  </si>
  <si>
    <t>Significant Risk</t>
  </si>
  <si>
    <t>0.5</t>
  </si>
  <si>
    <t xml:space="preserve"> 50 mR to 500 mR </t>
  </si>
  <si>
    <t>0.05 cGy to 0.5 cGy</t>
  </si>
  <si>
    <t xml:space="preserve">500 mR to 5 R </t>
  </si>
  <si>
    <t>0.5 cGy to 5 cGy</t>
  </si>
  <si>
    <t xml:space="preserve">10 R to 25 R </t>
  </si>
  <si>
    <t>10 cGy to 25 cGy</t>
  </si>
  <si>
    <t xml:space="preserve">25 R to 75 R </t>
  </si>
  <si>
    <t>25 cGy to 75 cGy</t>
  </si>
  <si>
    <t>RES Category</t>
  </si>
  <si>
    <t>Record individual dose
Initiate periodic monitoring</t>
  </si>
  <si>
    <t>Record individual dose
Continue monitoring
Initiate radiation survey
Establish dose control measures as part of operations
Prioritize tasks</t>
  </si>
  <si>
    <t>Record individual dose
Continue monitoring
Update radiation survey
Continue dose control measures
Execute priority tasks only - priority tasks are those missions to avert danger to persons or to prevent damage from spreading.</t>
  </si>
  <si>
    <t>Record individual dose
Continue monitoring
Update radiation survey
Continue dose control measures
Execute critical tasks only - critical tasks are those missions to save human life.</t>
  </si>
  <si>
    <t>Increased Risk of Long Term Fatal Cancer</t>
  </si>
  <si>
    <t>1:4,001</t>
  </si>
  <si>
    <t>Negligible</t>
  </si>
  <si>
    <t>1:400</t>
  </si>
  <si>
    <t>2:200</t>
  </si>
  <si>
    <t>1:80</t>
  </si>
  <si>
    <t>1:30</t>
  </si>
  <si>
    <t>50 milliRad (0.05 cGy)</t>
  </si>
  <si>
    <t>500 milliRad (0.5 cGy)</t>
  </si>
  <si>
    <t>5 Rad (5 cGy)</t>
  </si>
  <si>
    <t>5 R to 10 R</t>
  </si>
  <si>
    <t>5 cGy to 10 cGy</t>
  </si>
  <si>
    <t>10 Rad (10 cGy)</t>
  </si>
  <si>
    <t>75 Rad (75 cGy)</t>
  </si>
  <si>
    <t>Risk</t>
  </si>
  <si>
    <t>Special Actions</t>
  </si>
  <si>
    <t>Increase Cancer</t>
  </si>
  <si>
    <t>25 Rad (25 cGy)</t>
  </si>
  <si>
    <t>.050</t>
  </si>
  <si>
    <t>25</t>
  </si>
  <si>
    <t>75</t>
  </si>
  <si>
    <t>mR/hr</t>
  </si>
  <si>
    <t>R/hr</t>
  </si>
  <si>
    <t>No Action Required</t>
  </si>
  <si>
    <t>Max Dose</t>
  </si>
  <si>
    <t>Row Reference</t>
  </si>
  <si>
    <t>Ris</t>
  </si>
  <si>
    <t>Max Dose Value in Rad</t>
  </si>
  <si>
    <t>Dose Range</t>
  </si>
  <si>
    <t>Prodromal</t>
  </si>
  <si>
    <t>Survival</t>
  </si>
  <si>
    <t>50 - 100 Rad</t>
  </si>
  <si>
    <t>100 - 200 Rad</t>
  </si>
  <si>
    <t>200 - 350 Rad</t>
  </si>
  <si>
    <t>350 - 550 Rad</t>
  </si>
  <si>
    <t>550 - 750 Rad</t>
  </si>
  <si>
    <t>750 - 1000 Rad</t>
  </si>
  <si>
    <t>1000 - 2000 Rad</t>
  </si>
  <si>
    <t>Mild</t>
  </si>
  <si>
    <t>Mild to Moderate</t>
  </si>
  <si>
    <t>Moderate</t>
  </si>
  <si>
    <t>Severe</t>
  </si>
  <si>
    <t>Manifest Illness</t>
  </si>
  <si>
    <t>Beginning symptoms of bone marrow damage</t>
  </si>
  <si>
    <t>Moderate to severe bone marrow damage</t>
  </si>
  <si>
    <t>Severe bone marrow damage</t>
  </si>
  <si>
    <t>Combined gastroinestinal and bone marow damage; hypotension</t>
  </si>
  <si>
    <t>Severe gastrointestinal and cardiovascular damage</t>
  </si>
  <si>
    <t>Virtually certain</t>
  </si>
  <si>
    <t>Possible</t>
  </si>
  <si>
    <t>Death within 2 - 5 days</t>
  </si>
  <si>
    <t>Death within 5 - 12 days</t>
  </si>
  <si>
    <t>Death within 1 - 2 1/2 weeks</t>
  </si>
  <si>
    <t>Death within 2 - 3 weeks</t>
  </si>
  <si>
    <t>Death within 3 1/2 to 6 weeks</t>
  </si>
  <si>
    <t>Probable (&gt;90%)</t>
  </si>
  <si>
    <t>TLE</t>
  </si>
  <si>
    <t>Enter Distance from Source (meters)</t>
  </si>
  <si>
    <t>Enter Measured Radiation Dose Rate (mR/hr)</t>
  </si>
  <si>
    <t>Calculated Radiation Dose Rate at New Distance (mR/hr)</t>
  </si>
  <si>
    <t>Enter Dose Rate of Interest (mR/hr)</t>
  </si>
  <si>
    <t>Calculated Distance to Dose Rate of Interest (meters)</t>
  </si>
  <si>
    <r>
      <t>STEP 1: TOOLS TO HELP DETERMINE DOSE RATE</t>
    </r>
    <r>
      <rPr>
        <b/>
        <sz val="11"/>
        <rFont val="Arial"/>
        <family val="2"/>
      </rPr>
      <t xml:space="preserve">
</t>
    </r>
    <r>
      <rPr>
        <b/>
        <sz val="9"/>
        <rFont val="Arial"/>
        <family val="2"/>
      </rPr>
      <t>Note: Distance and Dose Rate Units can be user defined but must be consistent for each.</t>
    </r>
  </si>
  <si>
    <t>STEP 4:  DETERMINE RISK FOR SIGNIFICANT RADIATION EXPOSURE</t>
  </si>
  <si>
    <t>Severe gastronintestinal damage; early transient incapacitiation; gastrointestinal death</t>
  </si>
  <si>
    <t>Enter Flow Rate (cfm) at Start</t>
  </si>
  <si>
    <t>RECOMMENDED RESPIRATORY PROTECTION</t>
  </si>
  <si>
    <t>Target Sample Time (min)</t>
  </si>
  <si>
    <t>Enter Flow Rate (cfm) at Stop</t>
  </si>
  <si>
    <t>Actual Sample Time (min)</t>
  </si>
  <si>
    <t>Below 100 dpm/m3</t>
  </si>
  <si>
    <t>100 to 10,000 dpm/m3</t>
  </si>
  <si>
    <t>Above 10,000 dpm/m3</t>
  </si>
  <si>
    <r>
      <t>Alpha Activity (dpm/m</t>
    </r>
    <r>
      <rPr>
        <vertAlign val="superscript"/>
        <sz val="10"/>
        <rFont val="Arial"/>
        <family val="2"/>
      </rPr>
      <t>3</t>
    </r>
    <r>
      <rPr>
        <sz val="10"/>
        <rFont val="Arial"/>
        <family val="2"/>
      </rPr>
      <t>)</t>
    </r>
  </si>
  <si>
    <t>BACKGROUND MEASUREMENTS</t>
  </si>
  <si>
    <t>Calculated Sample Volume</t>
  </si>
  <si>
    <t>Alpha Reading (cpm) using ADM-300 AP-100 Probe</t>
  </si>
  <si>
    <t>SITE MEASUREMENTS</t>
  </si>
  <si>
    <r>
      <t>Select Desired Volume (ft</t>
    </r>
    <r>
      <rPr>
        <vertAlign val="superscript"/>
        <sz val="10"/>
        <rFont val="Arial"/>
        <family val="2"/>
      </rPr>
      <t>3</t>
    </r>
    <r>
      <rPr>
        <sz val="10"/>
        <rFont val="Arial"/>
        <family val="2"/>
      </rPr>
      <t>)</t>
    </r>
  </si>
  <si>
    <t>Enter Distance from Source for Calculated Radiation Dose Rate (meters)</t>
  </si>
  <si>
    <t>Stable</t>
  </si>
  <si>
    <t>Brucellosis</t>
  </si>
  <si>
    <t>Ricin</t>
  </si>
  <si>
    <t>Smallpox</t>
  </si>
  <si>
    <t>Tularemia</t>
  </si>
  <si>
    <t>Dissemination</t>
  </si>
  <si>
    <t>Infectivity</t>
  </si>
  <si>
    <t>Duration of Illness</t>
  </si>
  <si>
    <t>Lethality</t>
  </si>
  <si>
    <t>Persistence</t>
  </si>
  <si>
    <t>Anthrax (inhalation)</t>
  </si>
  <si>
    <t>Spores in aerosols</t>
  </si>
  <si>
    <t>No</t>
  </si>
  <si>
    <t>high</t>
  </si>
  <si>
    <t>Spores are highly stable</t>
  </si>
  <si>
    <t>High</t>
  </si>
  <si>
    <t>Aerosol; Sabotage of food supply</t>
  </si>
  <si>
    <t>Low</t>
  </si>
  <si>
    <t>Long persistence in wet soil &amp; food</t>
  </si>
  <si>
    <t>Cholera</t>
  </si>
  <si>
    <t>Sabotage of food/water supply; aerosol</t>
  </si>
  <si>
    <t>1 - 5 days</t>
  </si>
  <si>
    <t>Unstable in aerosols &amp; pure water; more persistence in polluted water</t>
  </si>
  <si>
    <t>Melioidosis</t>
  </si>
  <si>
    <t>Aerosol</t>
  </si>
  <si>
    <t>4 - 20 days</t>
  </si>
  <si>
    <t>Aerosol; infected vectors</t>
  </si>
  <si>
    <t>1 - 2 days</t>
  </si>
  <si>
    <t>2 or more weeks</t>
  </si>
  <si>
    <t>Not very stable</t>
  </si>
  <si>
    <t>Bacteria</t>
  </si>
  <si>
    <t>Virus</t>
  </si>
  <si>
    <t>2 - 6 days</t>
  </si>
  <si>
    <t>Very low</t>
  </si>
  <si>
    <t>Relatively stable</t>
  </si>
  <si>
    <t>Crimean-Congo hemorrhagic fever</t>
  </si>
  <si>
    <t>3 - 12 days</t>
  </si>
  <si>
    <t>Days to weeks</t>
  </si>
  <si>
    <t>Dengue fever</t>
  </si>
  <si>
    <t>3 - 6 days</t>
  </si>
  <si>
    <t>5 - 15 days</t>
  </si>
  <si>
    <t>1 - 3 weeks</t>
  </si>
  <si>
    <t>Relatively unstable</t>
  </si>
  <si>
    <t>Ebola</t>
  </si>
  <si>
    <t>4 - 42 days</t>
  </si>
  <si>
    <t>Lassa fever</t>
  </si>
  <si>
    <t>Low to moderate</t>
  </si>
  <si>
    <t>10 - 14 days</t>
  </si>
  <si>
    <t>1 - 4 weeks</t>
  </si>
  <si>
    <t>Aerosol; water</t>
  </si>
  <si>
    <t>7 - 10 days</t>
  </si>
  <si>
    <t>Rift Valley fever</t>
  </si>
  <si>
    <t>Omsk hemorrhagic fever</t>
  </si>
  <si>
    <t>2 - 5 days</t>
  </si>
  <si>
    <t>Russion spring-summer encephalitis</t>
  </si>
  <si>
    <t>Aerosol; milk</t>
  </si>
  <si>
    <t>8 - 14 days</t>
  </si>
  <si>
    <t>Days to months</t>
  </si>
  <si>
    <t>1 - 2 weeks</t>
  </si>
  <si>
    <t>Botulinum toxin</t>
  </si>
  <si>
    <t>Toxin</t>
  </si>
  <si>
    <t>24 - 72 hours</t>
  </si>
  <si>
    <t>Sabotage; aerosol</t>
  </si>
  <si>
    <t>8 - 12 hours</t>
  </si>
  <si>
    <t>24 hours</t>
  </si>
  <si>
    <t>Aerosol; Sabotage</t>
  </si>
  <si>
    <t>Palytoxin</t>
  </si>
  <si>
    <t>Days</t>
  </si>
  <si>
    <t>Saxitoxin</t>
  </si>
  <si>
    <t>Minutes to hours</t>
  </si>
  <si>
    <t>Minutes to days</t>
  </si>
  <si>
    <t>Aerosol; sabotage</t>
  </si>
  <si>
    <t>Tetrodotoxin</t>
  </si>
  <si>
    <t>Weeks to months</t>
  </si>
  <si>
    <t>Q fever</t>
  </si>
  <si>
    <t>Aerosol; sabotage of food supply</t>
  </si>
  <si>
    <t>2 weeks to months</t>
  </si>
  <si>
    <t>Scrub typhus</t>
  </si>
  <si>
    <t>4 - 15 days</t>
  </si>
  <si>
    <t>Up to 16 days</t>
  </si>
  <si>
    <t>Psittacosis</t>
  </si>
  <si>
    <t>Coccidioido-mycosis</t>
  </si>
  <si>
    <t>Histoplasmosis</t>
  </si>
  <si>
    <t>1 - 6 days</t>
  </si>
  <si>
    <t>Agent Category</t>
  </si>
  <si>
    <t>3 - 7 days</t>
  </si>
  <si>
    <t>Typhoid fever</t>
  </si>
  <si>
    <t>Pneumonic plague</t>
  </si>
  <si>
    <t>Korean hemorrhagic fever</t>
  </si>
  <si>
    <t>Yellow fever</t>
  </si>
  <si>
    <t>Clostridium perfringens toxins</t>
  </si>
  <si>
    <t>Rocky Mountain spotted fever</t>
  </si>
  <si>
    <t>1a.  Dose rate known at one distance; calculate dose rate at another distance from source</t>
  </si>
  <si>
    <t>1b.  Dose rate known at one distance; determine distance to a specified dose rate</t>
  </si>
  <si>
    <t>5.  Calculated Stay Time:</t>
  </si>
  <si>
    <t xml:space="preserve">1.  Allowable Dose from Step 2 </t>
  </si>
  <si>
    <t>STEP 5:  ASSESS CONTROL REQUIREMENTS FOR AIRBORNE PARTICLES</t>
  </si>
  <si>
    <t>2000 - 3000 Rad</t>
  </si>
  <si>
    <r>
      <t>Calculated Dosage 
(mg-min/m</t>
    </r>
    <r>
      <rPr>
        <b/>
        <vertAlign val="superscript"/>
        <sz val="10"/>
        <rFont val="Arial"/>
        <family val="2"/>
      </rPr>
      <t>3</t>
    </r>
    <r>
      <rPr>
        <b/>
        <sz val="10"/>
        <rFont val="Arial"/>
        <family val="2"/>
      </rPr>
      <t>)</t>
    </r>
  </si>
  <si>
    <r>
      <t>Dose for Percentile Response 
(mg-min/m</t>
    </r>
    <r>
      <rPr>
        <b/>
        <vertAlign val="superscript"/>
        <sz val="10"/>
        <rFont val="Arial"/>
        <family val="2"/>
      </rPr>
      <t>3</t>
    </r>
    <r>
      <rPr>
        <b/>
        <sz val="10"/>
        <rFont val="Arial"/>
        <family val="2"/>
      </rPr>
      <t>)</t>
    </r>
  </si>
  <si>
    <r>
      <t>Agent and Corresponding Dosage
(mg-min/m</t>
    </r>
    <r>
      <rPr>
        <b/>
        <vertAlign val="superscript"/>
        <sz val="10"/>
        <rFont val="Arial"/>
        <family val="2"/>
      </rPr>
      <t>3</t>
    </r>
    <r>
      <rPr>
        <b/>
        <sz val="10"/>
        <rFont val="Arial"/>
        <family val="2"/>
      </rPr>
      <t>)</t>
    </r>
  </si>
  <si>
    <t>2. Radiation Dose Rate at Start</t>
  </si>
  <si>
    <t>3. Radiation Dose Rate at Finish</t>
  </si>
  <si>
    <t>4. Unit of Measure</t>
  </si>
  <si>
    <t>Slight decrease in blood cell count</t>
  </si>
  <si>
    <t>Bone marrow pancytopenia and moderate intestinal damage</t>
  </si>
  <si>
    <t>Acute Exposure Guidelines Levels (AEGLs) are concentrations of a chemical in the air above which different health effects could begin to occur among the more sensitive (susceptible) members of the general population.</t>
  </si>
  <si>
    <t>Above AEGL 2, but below AEGL 3 - Increasing degree of miosis with possible impairment of vision after dark or in dim light; runny nose; sweating; possible breathing difficulties, but no permanent effects.</t>
  </si>
  <si>
    <t>ECt 50 for Severe Ocular Effects</t>
  </si>
  <si>
    <t>ECt 50 for Mild Ocular Effects</t>
  </si>
  <si>
    <t>HN-1, HN-2, HN-3, HT - Ocular</t>
  </si>
  <si>
    <t>Severe Ocular Effects</t>
  </si>
  <si>
    <t>Mild Ocular Effects</t>
  </si>
  <si>
    <t>L - Ocular</t>
  </si>
  <si>
    <t>Increasing cases of nausea, vomiting, then seizures and increasing possibility of fatalities.  AEGL3 is designed to protected against severely incapacitating effects.  The result is a protective AEGL 3, which may result in some reversible incapacitation, but no deaths to the general public.  Above the AEGL3, increasing cases nausea, vomiting, then seizures and increasing possibility of fatalities.</t>
  </si>
  <si>
    <t>GD - PC</t>
  </si>
  <si>
    <t>GD - PC (HOT)</t>
  </si>
  <si>
    <t>GF - PC</t>
  </si>
  <si>
    <t>GF - PC (HOT)</t>
  </si>
  <si>
    <t>HAPSITE TENAX METHOD (gc_tx1m)</t>
  </si>
  <si>
    <t>HAPSITE TENAX METHOD (gc_tx5m)</t>
  </si>
  <si>
    <t>HAPSITE TENAX METHOD (gc_tx10m)</t>
  </si>
  <si>
    <t>HAPSITE TENAX METHOD (gc_tx20m)</t>
  </si>
  <si>
    <t>HAPSITE TENAX METHOD (gc_txsim)</t>
  </si>
  <si>
    <t>bacillus anthracis</t>
  </si>
  <si>
    <t>brucella abortus/ melitensis/ suis/ canis</t>
  </si>
  <si>
    <t>vibrio cholerae</t>
  </si>
  <si>
    <t>yersina pestis</t>
  </si>
  <si>
    <t>francisella tularensius</t>
  </si>
  <si>
    <t>salmonella typhi</t>
  </si>
  <si>
    <t>alphavirus</t>
  </si>
  <si>
    <t>nairovirus</t>
  </si>
  <si>
    <t>flavivirus</t>
  </si>
  <si>
    <t>filovirus</t>
  </si>
  <si>
    <t>bunyavirus</t>
  </si>
  <si>
    <t>arenavirus</t>
  </si>
  <si>
    <t>phlebovirus</t>
  </si>
  <si>
    <t>Infectious Agent or Source</t>
  </si>
  <si>
    <t>clostridium botulinum</t>
  </si>
  <si>
    <t>clostridium perfringens</t>
  </si>
  <si>
    <t>trichothecene mycotoxins</t>
  </si>
  <si>
    <t>marine soft coral</t>
  </si>
  <si>
    <t>seed of castor plant</t>
  </si>
  <si>
    <t>marine dinoflagellate</t>
  </si>
  <si>
    <t>staphylococus aureus</t>
  </si>
  <si>
    <t>rickettsia rickettsii</t>
  </si>
  <si>
    <t>coxiella burnetii</t>
  </si>
  <si>
    <t>rickettsia prowazekii</t>
  </si>
  <si>
    <t>rickettsia tsutsugamushi</t>
  </si>
  <si>
    <t>chlamydia psittaci</t>
  </si>
  <si>
    <t>coccidioides immitis</t>
  </si>
  <si>
    <t>histoplasma capsulatum</t>
  </si>
  <si>
    <t>Fungal</t>
  </si>
  <si>
    <t>Chlamydial</t>
  </si>
  <si>
    <t>Rickettsiae</t>
  </si>
  <si>
    <t>Transmission Human to Human</t>
  </si>
  <si>
    <t>3-5 days</t>
  </si>
  <si>
    <t>days to months</t>
  </si>
  <si>
    <t>4 hours to days</t>
  </si>
  <si>
    <t>1 - 21 days</t>
  </si>
  <si>
    <t>none</t>
  </si>
  <si>
    <t>days</t>
  </si>
  <si>
    <t>Incubation Time (onset for toxins)</t>
  </si>
  <si>
    <t>Glanders (Acute/chronic forms)</t>
  </si>
  <si>
    <t>Very stable</t>
  </si>
  <si>
    <t>1</t>
  </si>
  <si>
    <t>2</t>
  </si>
  <si>
    <t>No respiratory protection needed (only for isotopes with atomic number &gt;92)</t>
  </si>
  <si>
    <t>Full-face respiratory protection required (M-series Protective Mask or NIOSH/MSHA approved HEPA respirator (only for isotopes with atomic number &gt;92)</t>
  </si>
  <si>
    <t>Pressure demand SCBA or limited entry restricted to essential personnel wearing full-face respiratory protection.  Source of contamination should be fixed as soon as possible. (only for isotopes with atomic number &gt;92)</t>
  </si>
  <si>
    <t>HAPSITE ER SURVEY MODE (MS only)</t>
  </si>
  <si>
    <t>HAPSITE ER Air Tribed PPM Quant</t>
  </si>
  <si>
    <t>HAPSITE ER Air Tribed PPM Standard</t>
  </si>
  <si>
    <t>HAPSITE ER Air Tribed mg/m3 Quant</t>
  </si>
  <si>
    <t>HAPSITE ER Air Tribed PPB Quant</t>
  </si>
  <si>
    <t>HAPSITE ER Air Tribed PPB Standard</t>
  </si>
  <si>
    <t>HAPSITE ER Air Tribed CWA 500ml</t>
  </si>
  <si>
    <t>HAPSITE ER TD Tenex Survey HT</t>
  </si>
  <si>
    <t>HAPSITE ER TD Tenex Survey Standard</t>
  </si>
  <si>
    <t>HAPSITE ER TD Tenex Tribed HT</t>
  </si>
  <si>
    <t>HAPSITE ER TD Tenex Tribed Standard</t>
  </si>
  <si>
    <t>Unlikely</t>
  </si>
  <si>
    <t>Rare</t>
  </si>
  <si>
    <t>&gt; 1 week</t>
  </si>
  <si>
    <t>Low with treatment; High without treatment</t>
  </si>
  <si>
    <t>burkholderia mallei/pseudomallei</t>
  </si>
  <si>
    <t>Low; High if septicemic</t>
  </si>
  <si>
    <t>Moderate, can survive in environment</t>
  </si>
  <si>
    <t>Low with treatment; High without treament</t>
  </si>
  <si>
    <t>Stable in water and soil</t>
  </si>
  <si>
    <t>Sabotage of food/water supply</t>
  </si>
  <si>
    <t>7 - 14 days</t>
  </si>
  <si>
    <t>Stable in water and feces</t>
  </si>
  <si>
    <t>2 - 12 days</t>
  </si>
  <si>
    <t>9 - 12 days</t>
  </si>
  <si>
    <t>Liquid splash</t>
  </si>
  <si>
    <t>5 - 8 days</t>
  </si>
  <si>
    <t>2 - 21 days</t>
  </si>
  <si>
    <t>variola major/minor</t>
  </si>
  <si>
    <t>7 - 17 days</t>
  </si>
  <si>
    <t>4 weeks</t>
  </si>
  <si>
    <t>1 - 3 days; may be months if not lethal</t>
  </si>
  <si>
    <t>Aerosol (contact); sabotage</t>
  </si>
  <si>
    <t>5 - 60 minutes</t>
  </si>
  <si>
    <t>High if not decontaminated</t>
  </si>
  <si>
    <t>1 - 3 days</t>
  </si>
  <si>
    <t>3 - 12 hours</t>
  </si>
  <si>
    <t>2 - 4 weeks</t>
  </si>
  <si>
    <t>Puffer fish</t>
  </si>
  <si>
    <t>6 - 14 days</t>
  </si>
  <si>
    <t>Staphylococcal entertoxin B (SEB)</t>
  </si>
  <si>
    <t>Typhus (endemic/epidemic)</t>
  </si>
  <si>
    <t>1 - 5 weeks</t>
  </si>
  <si>
    <t>1 -21 days</t>
  </si>
  <si>
    <t>High (acute); Low (chronic)</t>
  </si>
  <si>
    <t>3 - 17 days</t>
  </si>
  <si>
    <t>3 - 4 weeks</t>
  </si>
  <si>
    <t>Long persistence in soil/water</t>
  </si>
  <si>
    <t xml:space="preserve">Venezuelan equine encephalitis (VEE) </t>
  </si>
  <si>
    <t>Western equine encephalitis (WEE)</t>
  </si>
  <si>
    <t>Trichothecene (T-2) mycotoxins</t>
  </si>
  <si>
    <t>Eastern equine encephalitis (EEE)</t>
  </si>
  <si>
    <t xml:space="preserve">Chikungunya </t>
  </si>
  <si>
    <t>JCAD</t>
  </si>
  <si>
    <t xml:space="preserve">HAPSITE ER TD Tenex Tribed CWA Quant 500ml </t>
  </si>
  <si>
    <t>HAPSITE ER TD Tenex Tribed CWA Quant 1000ml</t>
  </si>
  <si>
    <t>HAPSITE ER TD Tenex Tribed CWA Quant 1500ml</t>
  </si>
  <si>
    <t>HAPSITE ER TD Tenex Tribed CWA Quant 2000ml</t>
  </si>
  <si>
    <t>HAPSITE ER TD Tenex Tribed CWA Quant 2500ml</t>
  </si>
  <si>
    <t>HAPSITE ER TD Tenex Tribed CWA Quant 3000ml</t>
  </si>
  <si>
    <t>HAPSITE ER TD Tenex Tribed CWA Quant 3500ml</t>
  </si>
  <si>
    <t>HAPSITE ER TD Tenex Tribed CWA Quant 4000ml</t>
  </si>
  <si>
    <t>HAPSITE ER TD Tenex Tribed CWA Quant 4500ml</t>
  </si>
  <si>
    <t>HAPSITE ER TD Tenex Tribed CWA Quant 5000ml</t>
  </si>
  <si>
    <r>
      <rPr>
        <b/>
        <sz val="10"/>
        <rFont val="Arial"/>
        <family val="2"/>
      </rPr>
      <t>(mg/m</t>
    </r>
    <r>
      <rPr>
        <b/>
        <vertAlign val="superscript"/>
        <sz val="10"/>
        <rFont val="Arial"/>
        <family val="2"/>
      </rPr>
      <t>3</t>
    </r>
    <r>
      <rPr>
        <b/>
        <sz val="10"/>
        <rFont val="Arial"/>
        <family val="2"/>
      </rPr>
      <t>)</t>
    </r>
  </si>
  <si>
    <t>Tabun (GA)</t>
  </si>
  <si>
    <t>Sarin (GB)</t>
  </si>
  <si>
    <t xml:space="preserve">Soman (GD) </t>
  </si>
  <si>
    <t>Cyclosarin (GF)</t>
  </si>
  <si>
    <t>Lewisite (L)</t>
  </si>
  <si>
    <t>Sulfur Mustard (HD)</t>
  </si>
  <si>
    <t>Sulfur Mustard Agent T (HT)</t>
  </si>
  <si>
    <t>Nitrogen Mustard 1 (HN-1)</t>
  </si>
  <si>
    <t>Nitrogen Mustard 3 (HN3)</t>
  </si>
  <si>
    <t>Nitrogen Mustard 2 (HN-2</t>
  </si>
  <si>
    <t>789</t>
  </si>
  <si>
    <t>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</si>
</sst>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0000"/>
    <numFmt numFmtId="165" formatCode="0.0000"/>
    <numFmt numFmtId="166" formatCode="#,##0.000"/>
    <numFmt numFmtId="167" formatCode=";;;"/>
    <numFmt numFmtId="168" formatCode="0.000%"/>
    <numFmt numFmtId="169" formatCode="0.0000%"/>
  </numFmts>
  <fonts count="43" x14ac:knownFonts="1">
    <font>
      <sz val="10"/>
      <name val="Arial"/>
    </font>
    <font>
      <sz val="10"/>
      <name val="Arial"/>
      <family val="2"/>
    </font>
    <font>
      <sz val="14"/>
      <name val="Arial"/>
      <family val="2"/>
    </font>
    <font>
      <u/>
      <sz val="14"/>
      <name val="Arial"/>
      <family val="2"/>
    </font>
    <font>
      <i/>
      <sz val="14"/>
      <name val="Arial"/>
      <family val="2"/>
    </font>
    <font>
      <sz val="10"/>
      <name val="Arial"/>
      <family val="2"/>
    </font>
    <font>
      <b/>
      <sz val="10"/>
      <name val="Arial"/>
      <family val="2"/>
    </font>
    <font>
      <sz val="12"/>
      <name val="Arial"/>
      <family val="2"/>
    </font>
    <font>
      <b/>
      <vertAlign val="superscript"/>
      <sz val="10"/>
      <name val="Arial"/>
      <family val="2"/>
    </font>
    <font>
      <b/>
      <sz val="9"/>
      <name val="Arial"/>
      <family val="2"/>
    </font>
    <font>
      <b/>
      <i/>
      <sz val="10"/>
      <name val="Arial"/>
      <family val="2"/>
    </font>
    <font>
      <b/>
      <u/>
      <sz val="10"/>
      <name val="Arial"/>
      <family val="2"/>
    </font>
    <font>
      <b/>
      <sz val="14"/>
      <name val="Arial"/>
      <family val="2"/>
    </font>
    <font>
      <i/>
      <u/>
      <sz val="10"/>
      <name val="Arial"/>
      <family val="2"/>
    </font>
    <font>
      <sz val="12"/>
      <color indexed="10"/>
      <name val="Wingdings"/>
      <charset val="2"/>
    </font>
    <font>
      <b/>
      <sz val="12"/>
      <color indexed="62"/>
      <name val="Helvetica"/>
      <family val="2"/>
    </font>
    <font>
      <vertAlign val="superscript"/>
      <sz val="14"/>
      <name val="Arial"/>
      <family val="2"/>
    </font>
    <font>
      <sz val="14"/>
      <color indexed="9"/>
      <name val="Arial"/>
      <family val="2"/>
    </font>
    <font>
      <sz val="8"/>
      <name val="Arial"/>
      <family val="2"/>
    </font>
    <font>
      <b/>
      <sz val="20"/>
      <name val="Arial"/>
      <family val="2"/>
    </font>
    <font>
      <sz val="20"/>
      <name val="Arial"/>
      <family val="2"/>
    </font>
    <font>
      <sz val="10"/>
      <color indexed="22"/>
      <name val="Arial"/>
      <family val="2"/>
    </font>
    <font>
      <sz val="12"/>
      <name val="Times New Roman"/>
      <family val="1"/>
    </font>
    <font>
      <i/>
      <sz val="8"/>
      <name val="Arial"/>
      <family val="2"/>
    </font>
    <font>
      <b/>
      <sz val="10"/>
      <name val="Arial"/>
      <family val="2"/>
    </font>
    <font>
      <sz val="10"/>
      <name val="Arial"/>
      <family val="2"/>
    </font>
    <font>
      <b/>
      <sz val="14"/>
      <color indexed="9"/>
      <name val="Arial"/>
      <family val="2"/>
    </font>
    <font>
      <b/>
      <sz val="8"/>
      <color indexed="10"/>
      <name val="Tahoma"/>
      <family val="2"/>
    </font>
    <font>
      <sz val="6"/>
      <name val="Arial"/>
      <family val="2"/>
    </font>
    <font>
      <i/>
      <sz val="10"/>
      <name val="Arial"/>
      <family val="2"/>
    </font>
    <font>
      <b/>
      <sz val="12"/>
      <name val="Arial"/>
      <family val="2"/>
    </font>
    <font>
      <b/>
      <sz val="11"/>
      <name val="Arial"/>
      <family val="2"/>
    </font>
    <font>
      <vertAlign val="superscript"/>
      <sz val="10"/>
      <name val="Arial"/>
      <family val="2"/>
    </font>
    <font>
      <b/>
      <sz val="18"/>
      <name val="Arial"/>
      <family val="2"/>
    </font>
    <font>
      <sz val="18"/>
      <name val="Arial"/>
      <family val="2"/>
    </font>
    <font>
      <b/>
      <u/>
      <sz val="10"/>
      <name val="Arial"/>
      <family val="2"/>
    </font>
    <font>
      <sz val="10"/>
      <color indexed="9"/>
      <name val="Arial"/>
      <family val="2"/>
    </font>
    <font>
      <b/>
      <sz val="10"/>
      <color indexed="9"/>
      <name val="Arial"/>
      <family val="2"/>
    </font>
    <font>
      <i/>
      <sz val="10"/>
      <name val="Arial"/>
      <family val="2"/>
    </font>
    <font>
      <b/>
      <sz val="8"/>
      <color indexed="81"/>
      <name val="Tahoma"/>
      <family val="2"/>
    </font>
    <font>
      <sz val="8"/>
      <color indexed="8"/>
      <name val="Tahoma"/>
      <family val="2"/>
    </font>
    <font>
      <sz val="8"/>
      <color indexed="81"/>
      <name val="Tahoma"/>
      <family val="2"/>
    </font>
    <font>
      <i/>
      <sz val="11"/>
      <color theme="1"/>
      <name val="Calibri"/>
      <family val="2"/>
      <scheme val="minor"/>
    </font>
  </fonts>
  <fills count="13">
    <fill>
      <patternFill patternType="none"/>
    </fill>
    <fill>
      <patternFill patternType="gray125"/>
    </fill>
    <fill>
      <patternFill patternType="solid">
        <fgColor indexed="11"/>
        <bgColor indexed="64"/>
      </patternFill>
    </fill>
    <fill>
      <patternFill patternType="solid">
        <fgColor indexed="13"/>
        <bgColor indexed="64"/>
      </patternFill>
    </fill>
    <fill>
      <patternFill patternType="solid">
        <fgColor indexed="9"/>
        <bgColor indexed="64"/>
      </patternFill>
    </fill>
    <fill>
      <patternFill patternType="solid">
        <fgColor indexed="10"/>
        <bgColor indexed="64"/>
      </patternFill>
    </fill>
    <fill>
      <patternFill patternType="solid">
        <fgColor indexed="42"/>
        <bgColor indexed="64"/>
      </patternFill>
    </fill>
    <fill>
      <patternFill patternType="solid">
        <fgColor indexed="22"/>
        <bgColor indexed="64"/>
      </patternFill>
    </fill>
    <fill>
      <patternFill patternType="solid">
        <fgColor indexed="47"/>
        <bgColor indexed="64"/>
      </patternFill>
    </fill>
    <fill>
      <patternFill patternType="solid">
        <fgColor indexed="43"/>
        <bgColor indexed="64"/>
      </patternFill>
    </fill>
    <fill>
      <patternFill patternType="solid">
        <fgColor indexed="41"/>
        <bgColor indexed="64"/>
      </patternFill>
    </fill>
    <fill>
      <patternFill patternType="solid">
        <fgColor indexed="12"/>
        <bgColor indexed="64"/>
      </patternFill>
    </fill>
    <fill>
      <patternFill patternType="solid">
        <fgColor rgb="FFCCFFFF"/>
        <bgColor indexed="64"/>
      </patternFill>
    </fill>
  </fills>
  <borders count="29">
    <border>
      <left/>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457">
    <xf numFmtId="0" fontId="0" fillId="0" borderId="0" xfId="0"/>
    <xf numFmtId="0" fontId="2" fillId="0" borderId="0" xfId="0" applyFont="1"/>
    <xf numFmtId="0" fontId="3" fillId="0" borderId="0" xfId="0" applyFont="1"/>
    <xf numFmtId="0" fontId="5" fillId="0" borderId="0" xfId="0" applyFont="1"/>
    <xf numFmtId="0" fontId="0" fillId="0" borderId="0" xfId="0" applyAlignment="1">
      <alignment horizontal="center"/>
    </xf>
    <xf numFmtId="2" fontId="0" fillId="0" borderId="0" xfId="0" applyNumberFormat="1"/>
    <xf numFmtId="0" fontId="6" fillId="0" borderId="0" xfId="0" applyFont="1"/>
    <xf numFmtId="0" fontId="6" fillId="0" borderId="0" xfId="0" applyFont="1" applyAlignment="1">
      <alignment horizontal="center"/>
    </xf>
    <xf numFmtId="0" fontId="7" fillId="0" borderId="0" xfId="0" applyFont="1"/>
    <xf numFmtId="0" fontId="5" fillId="0" borderId="0" xfId="0" applyFont="1" applyAlignment="1">
      <alignment horizontal="left"/>
    </xf>
    <xf numFmtId="2" fontId="6" fillId="0" borderId="0" xfId="0" applyNumberFormat="1" applyFont="1" applyAlignment="1">
      <alignment horizontal="center"/>
    </xf>
    <xf numFmtId="0" fontId="6" fillId="0" borderId="1" xfId="0" applyFont="1" applyBorder="1" applyAlignment="1">
      <alignment horizontal="center"/>
    </xf>
    <xf numFmtId="2" fontId="6" fillId="0" borderId="2" xfId="0" applyNumberFormat="1" applyFont="1" applyFill="1" applyBorder="1" applyAlignment="1">
      <alignment horizontal="center"/>
    </xf>
    <xf numFmtId="0" fontId="0" fillId="0" borderId="0" xfId="0" applyAlignment="1" applyProtection="1">
      <alignment horizontal="center"/>
      <protection locked="0"/>
    </xf>
    <xf numFmtId="0" fontId="6" fillId="2" borderId="3" xfId="0" applyFont="1" applyFill="1" applyBorder="1" applyAlignment="1">
      <alignment horizontal="center" vertical="center" wrapText="1"/>
    </xf>
    <xf numFmtId="0" fontId="12" fillId="0" borderId="0" xfId="0" applyFont="1"/>
    <xf numFmtId="0" fontId="13" fillId="0" borderId="0" xfId="0" applyFont="1"/>
    <xf numFmtId="164" fontId="0" fillId="0" borderId="0" xfId="0" applyNumberFormat="1"/>
    <xf numFmtId="0" fontId="6" fillId="0" borderId="4" xfId="0" applyFont="1" applyBorder="1"/>
    <xf numFmtId="0" fontId="6" fillId="0" borderId="4" xfId="0" applyFont="1" applyBorder="1" applyAlignment="1">
      <alignment horizontal="center"/>
    </xf>
    <xf numFmtId="0" fontId="6" fillId="0" borderId="4" xfId="0" applyFont="1" applyFill="1" applyBorder="1" applyAlignment="1">
      <alignment horizontal="center"/>
    </xf>
    <xf numFmtId="2" fontId="6" fillId="0" borderId="4" xfId="0" applyNumberFormat="1" applyFont="1" applyFill="1" applyBorder="1" applyAlignment="1">
      <alignment horizontal="center"/>
    </xf>
    <xf numFmtId="0" fontId="14" fillId="0" borderId="0" xfId="0" applyFont="1"/>
    <xf numFmtId="0" fontId="0" fillId="3" borderId="5" xfId="0" applyFill="1" applyBorder="1" applyAlignment="1">
      <alignment horizontal="center"/>
    </xf>
    <xf numFmtId="0" fontId="0" fillId="3" borderId="1" xfId="0" applyFill="1" applyBorder="1" applyAlignment="1">
      <alignment horizontal="center"/>
    </xf>
    <xf numFmtId="0" fontId="0" fillId="0" borderId="6" xfId="0" applyBorder="1"/>
    <xf numFmtId="0" fontId="0" fillId="0" borderId="0" xfId="0" applyBorder="1"/>
    <xf numFmtId="0" fontId="10" fillId="2" borderId="7" xfId="0" applyFont="1" applyFill="1" applyBorder="1" applyAlignment="1">
      <alignment horizontal="center" vertical="center" wrapText="1"/>
    </xf>
    <xf numFmtId="0" fontId="0" fillId="3" borderId="8" xfId="0" applyFill="1" applyBorder="1" applyAlignment="1">
      <alignment horizontal="center"/>
    </xf>
    <xf numFmtId="0" fontId="0" fillId="3" borderId="9" xfId="0" applyFill="1" applyBorder="1" applyAlignment="1">
      <alignment horizontal="center"/>
    </xf>
    <xf numFmtId="0" fontId="6" fillId="2" borderId="7" xfId="0" applyFont="1" applyFill="1" applyBorder="1" applyAlignment="1">
      <alignment horizontal="center" vertical="center" wrapText="1"/>
    </xf>
    <xf numFmtId="164" fontId="6" fillId="0" borderId="0" xfId="0" applyNumberFormat="1" applyFont="1" applyAlignment="1">
      <alignment horizontal="center"/>
    </xf>
    <xf numFmtId="0" fontId="0" fillId="0" borderId="0" xfId="0" applyAlignment="1">
      <alignment horizontal="center" vertical="center"/>
    </xf>
    <xf numFmtId="165" fontId="6" fillId="0" borderId="0" xfId="0" applyNumberFormat="1" applyFont="1" applyAlignment="1">
      <alignment horizontal="center"/>
    </xf>
    <xf numFmtId="0" fontId="0" fillId="4" borderId="10" xfId="0" applyFill="1" applyBorder="1"/>
    <xf numFmtId="0" fontId="6" fillId="4" borderId="10" xfId="0" applyFont="1" applyFill="1" applyBorder="1" applyAlignment="1" applyProtection="1">
      <alignment horizontal="center" vertical="center"/>
      <protection locked="0"/>
    </xf>
    <xf numFmtId="0" fontId="0" fillId="4" borderId="6" xfId="0" applyFill="1" applyBorder="1" applyAlignment="1">
      <alignment horizontal="center"/>
    </xf>
    <xf numFmtId="0" fontId="0" fillId="4" borderId="6" xfId="0" applyFill="1" applyBorder="1"/>
    <xf numFmtId="0" fontId="6" fillId="4" borderId="7" xfId="0" applyFont="1" applyFill="1" applyBorder="1" applyAlignment="1" applyProtection="1">
      <alignment horizontal="center" vertical="center"/>
      <protection locked="0"/>
    </xf>
    <xf numFmtId="0" fontId="0" fillId="4" borderId="0" xfId="0" applyFill="1"/>
    <xf numFmtId="0" fontId="0" fillId="4" borderId="0" xfId="0" applyFill="1" applyBorder="1"/>
    <xf numFmtId="2" fontId="0" fillId="4" borderId="8" xfId="0" applyNumberFormat="1" applyFill="1" applyBorder="1" applyAlignment="1">
      <alignment horizontal="center" vertical="center"/>
    </xf>
    <xf numFmtId="2" fontId="0" fillId="4" borderId="6" xfId="0" applyNumberFormat="1" applyFill="1" applyBorder="1" applyAlignment="1">
      <alignment horizontal="center" vertical="center"/>
    </xf>
    <xf numFmtId="0" fontId="6" fillId="4" borderId="3" xfId="0" applyFont="1" applyFill="1" applyBorder="1" applyAlignment="1">
      <alignment horizontal="center" vertical="center"/>
    </xf>
    <xf numFmtId="0" fontId="6" fillId="4" borderId="11" xfId="0" applyFont="1" applyFill="1" applyBorder="1" applyAlignment="1">
      <alignment horizontal="center" vertical="center"/>
    </xf>
    <xf numFmtId="165" fontId="6" fillId="4" borderId="7" xfId="0" applyNumberFormat="1" applyFont="1" applyFill="1" applyBorder="1" applyAlignment="1">
      <alignment horizontal="center"/>
    </xf>
    <xf numFmtId="2" fontId="6" fillId="4" borderId="7" xfId="0" applyNumberFormat="1" applyFont="1" applyFill="1" applyBorder="1" applyAlignment="1">
      <alignment horizontal="center"/>
    </xf>
    <xf numFmtId="2" fontId="6" fillId="4" borderId="1" xfId="0" applyNumberFormat="1" applyFont="1" applyFill="1" applyBorder="1" applyAlignment="1">
      <alignment horizontal="center"/>
    </xf>
    <xf numFmtId="0" fontId="6" fillId="4" borderId="0" xfId="0" applyFont="1" applyFill="1" applyBorder="1" applyAlignment="1">
      <alignment horizontal="center"/>
    </xf>
    <xf numFmtId="2" fontId="0" fillId="4" borderId="0" xfId="0" applyNumberFormat="1" applyFill="1" applyBorder="1" applyAlignment="1">
      <alignment horizontal="center"/>
    </xf>
    <xf numFmtId="0" fontId="6" fillId="4" borderId="8" xfId="0" applyFont="1" applyFill="1" applyBorder="1" applyAlignment="1">
      <alignment horizontal="center"/>
    </xf>
    <xf numFmtId="0" fontId="6" fillId="4" borderId="6" xfId="0" applyFont="1" applyFill="1" applyBorder="1" applyAlignment="1">
      <alignment horizontal="center"/>
    </xf>
    <xf numFmtId="2" fontId="6" fillId="4" borderId="6" xfId="0" applyNumberFormat="1" applyFont="1" applyFill="1" applyBorder="1" applyAlignment="1">
      <alignment horizontal="center"/>
    </xf>
    <xf numFmtId="0" fontId="0" fillId="4" borderId="8" xfId="0" applyFill="1" applyBorder="1"/>
    <xf numFmtId="0" fontId="0" fillId="4" borderId="0" xfId="0" applyFill="1" applyAlignment="1">
      <alignment horizontal="center"/>
    </xf>
    <xf numFmtId="0" fontId="0" fillId="4" borderId="0" xfId="0" applyFill="1" applyAlignment="1" applyProtection="1">
      <alignment horizontal="center"/>
      <protection locked="0"/>
    </xf>
    <xf numFmtId="0" fontId="0" fillId="4" borderId="7" xfId="0" applyFill="1" applyBorder="1"/>
    <xf numFmtId="0" fontId="0" fillId="3" borderId="3" xfId="0" applyFill="1" applyBorder="1" applyAlignment="1">
      <alignment horizontal="center"/>
    </xf>
    <xf numFmtId="0" fontId="0" fillId="3" borderId="7" xfId="0" applyFill="1" applyBorder="1" applyAlignment="1">
      <alignment horizontal="center"/>
    </xf>
    <xf numFmtId="0" fontId="5" fillId="4" borderId="0" xfId="0" applyFont="1" applyFill="1" applyBorder="1" applyAlignment="1" applyProtection="1">
      <alignment horizontal="center"/>
      <protection locked="0" hidden="1"/>
    </xf>
    <xf numFmtId="0" fontId="5" fillId="4" borderId="0" xfId="0" applyFont="1" applyFill="1" applyBorder="1" applyProtection="1">
      <protection locked="0" hidden="1"/>
    </xf>
    <xf numFmtId="2" fontId="5" fillId="4" borderId="0" xfId="0" applyNumberFormat="1" applyFont="1" applyFill="1" applyBorder="1" applyAlignment="1" applyProtection="1">
      <alignment horizontal="center"/>
      <protection locked="0" hidden="1"/>
    </xf>
    <xf numFmtId="0" fontId="6" fillId="4" borderId="0" xfId="0" applyFont="1" applyFill="1" applyBorder="1" applyAlignment="1" applyProtection="1">
      <alignment horizontal="center" vertical="center"/>
      <protection locked="0" hidden="1"/>
    </xf>
    <xf numFmtId="0" fontId="5" fillId="4" borderId="0" xfId="0" applyFont="1" applyFill="1" applyAlignment="1" applyProtection="1">
      <alignment horizontal="center"/>
      <protection locked="0" hidden="1"/>
    </xf>
    <xf numFmtId="0" fontId="0" fillId="5" borderId="0" xfId="0" applyFill="1"/>
    <xf numFmtId="166" fontId="0" fillId="0" borderId="0" xfId="0" applyNumberFormat="1"/>
    <xf numFmtId="166" fontId="0" fillId="6" borderId="0" xfId="0" applyNumberFormat="1" applyFill="1"/>
    <xf numFmtId="166" fontId="0" fillId="5" borderId="0" xfId="0" applyNumberFormat="1" applyFill="1"/>
    <xf numFmtId="0" fontId="0" fillId="0" borderId="0" xfId="0" applyFill="1"/>
    <xf numFmtId="0" fontId="0" fillId="0" borderId="0" xfId="0" applyAlignment="1">
      <alignment wrapText="1"/>
    </xf>
    <xf numFmtId="0" fontId="0" fillId="7" borderId="11" xfId="0" applyFill="1" applyBorder="1"/>
    <xf numFmtId="0" fontId="0" fillId="7" borderId="11" xfId="0" applyFill="1" applyBorder="1" applyAlignment="1">
      <alignment wrapText="1"/>
    </xf>
    <xf numFmtId="0" fontId="0" fillId="7" borderId="0" xfId="0" applyFill="1" applyBorder="1"/>
    <xf numFmtId="0" fontId="0" fillId="7" borderId="0" xfId="0" applyFill="1" applyBorder="1" applyAlignment="1">
      <alignment wrapText="1"/>
    </xf>
    <xf numFmtId="0" fontId="0" fillId="7" borderId="12" xfId="0" applyFill="1" applyBorder="1"/>
    <xf numFmtId="0" fontId="6" fillId="7" borderId="4" xfId="0" applyFont="1" applyFill="1" applyBorder="1" applyAlignment="1">
      <alignment horizontal="center" wrapText="1"/>
    </xf>
    <xf numFmtId="0" fontId="6" fillId="7" borderId="3" xfId="0" applyFont="1" applyFill="1" applyBorder="1" applyAlignment="1">
      <alignment horizontal="center" vertical="center" wrapText="1"/>
    </xf>
    <xf numFmtId="0" fontId="6" fillId="7" borderId="0" xfId="0" applyFont="1" applyFill="1" applyBorder="1" applyAlignment="1">
      <alignment horizontal="center"/>
    </xf>
    <xf numFmtId="2" fontId="6" fillId="7" borderId="7" xfId="0" applyNumberFormat="1" applyFont="1" applyFill="1" applyBorder="1" applyAlignment="1">
      <alignment horizontal="center" vertical="center" wrapText="1"/>
    </xf>
    <xf numFmtId="0" fontId="0" fillId="7" borderId="11" xfId="0" applyFill="1" applyBorder="1" applyAlignment="1"/>
    <xf numFmtId="0" fontId="0" fillId="7" borderId="5" xfId="0" applyFill="1" applyBorder="1"/>
    <xf numFmtId="0" fontId="0" fillId="7" borderId="0" xfId="0" applyFill="1" applyBorder="1" applyAlignment="1"/>
    <xf numFmtId="166" fontId="0" fillId="0" borderId="0" xfId="0" applyNumberFormat="1" applyFill="1"/>
    <xf numFmtId="0" fontId="6" fillId="5" borderId="0" xfId="0" applyFont="1" applyFill="1"/>
    <xf numFmtId="0" fontId="0" fillId="0" borderId="0" xfId="0" applyAlignment="1"/>
    <xf numFmtId="0" fontId="0" fillId="7" borderId="6" xfId="0" applyFill="1" applyBorder="1" applyAlignment="1"/>
    <xf numFmtId="0" fontId="2" fillId="7" borderId="6" xfId="0" applyFont="1" applyFill="1" applyBorder="1" applyAlignment="1"/>
    <xf numFmtId="2" fontId="6" fillId="7" borderId="6" xfId="0" applyNumberFormat="1" applyFont="1" applyFill="1" applyBorder="1" applyAlignment="1"/>
    <xf numFmtId="0" fontId="20" fillId="0" borderId="0" xfId="0" applyFont="1"/>
    <xf numFmtId="0" fontId="20" fillId="7" borderId="0" xfId="0" applyFont="1" applyFill="1" applyBorder="1"/>
    <xf numFmtId="0" fontId="20" fillId="7" borderId="11" xfId="0" applyFont="1" applyFill="1" applyBorder="1"/>
    <xf numFmtId="0" fontId="20" fillId="7" borderId="0" xfId="0" applyFont="1" applyFill="1" applyBorder="1" applyAlignment="1">
      <alignment horizontal="center"/>
    </xf>
    <xf numFmtId="0" fontId="21" fillId="7" borderId="5" xfId="0" applyFont="1" applyFill="1" applyBorder="1" applyAlignment="1"/>
    <xf numFmtId="0" fontId="21" fillId="7" borderId="12" xfId="0" applyFont="1" applyFill="1" applyBorder="1"/>
    <xf numFmtId="0" fontId="21" fillId="7" borderId="1" xfId="0" applyFont="1" applyFill="1" applyBorder="1"/>
    <xf numFmtId="0" fontId="6" fillId="7" borderId="0" xfId="0" applyFont="1" applyFill="1" applyBorder="1" applyAlignment="1">
      <alignment horizontal="right"/>
    </xf>
    <xf numFmtId="0" fontId="6" fillId="8" borderId="13" xfId="0" applyFont="1" applyFill="1" applyBorder="1"/>
    <xf numFmtId="0" fontId="6" fillId="8" borderId="14" xfId="0" applyFont="1" applyFill="1" applyBorder="1"/>
    <xf numFmtId="164" fontId="6" fillId="8" borderId="14" xfId="0" applyNumberFormat="1" applyFont="1" applyFill="1" applyBorder="1"/>
    <xf numFmtId="0" fontId="6" fillId="8" borderId="2" xfId="0" applyFont="1" applyFill="1" applyBorder="1"/>
    <xf numFmtId="0" fontId="0" fillId="8" borderId="8" xfId="0" applyFill="1" applyBorder="1"/>
    <xf numFmtId="0" fontId="0" fillId="8" borderId="15" xfId="0" applyFill="1" applyBorder="1"/>
    <xf numFmtId="164" fontId="0" fillId="8" borderId="15" xfId="0" applyNumberFormat="1" applyFill="1" applyBorder="1"/>
    <xf numFmtId="0" fontId="0" fillId="8" borderId="9" xfId="0" applyFill="1" applyBorder="1"/>
    <xf numFmtId="0" fontId="0" fillId="8" borderId="6" xfId="0" applyFill="1" applyBorder="1"/>
    <xf numFmtId="0" fontId="0" fillId="8" borderId="0" xfId="0" applyFill="1" applyBorder="1"/>
    <xf numFmtId="0" fontId="0" fillId="8" borderId="11" xfId="0" applyFill="1" applyBorder="1"/>
    <xf numFmtId="0" fontId="0" fillId="8" borderId="0" xfId="0" applyNumberFormat="1" applyFill="1" applyBorder="1"/>
    <xf numFmtId="0" fontId="0" fillId="8" borderId="16" xfId="0" applyFill="1" applyBorder="1" applyAlignment="1">
      <alignment wrapText="1"/>
    </xf>
    <xf numFmtId="0" fontId="0" fillId="8" borderId="17" xfId="0" applyFill="1" applyBorder="1" applyAlignment="1">
      <alignment wrapText="1"/>
    </xf>
    <xf numFmtId="0" fontId="0" fillId="8" borderId="18" xfId="0" applyFill="1" applyBorder="1" applyAlignment="1">
      <alignment wrapText="1"/>
    </xf>
    <xf numFmtId="0" fontId="0" fillId="8" borderId="5" xfId="0" applyFill="1" applyBorder="1"/>
    <xf numFmtId="0" fontId="0" fillId="8" borderId="12" xfId="0" applyFill="1" applyBorder="1"/>
    <xf numFmtId="0" fontId="0" fillId="8" borderId="1" xfId="0" applyFill="1" applyBorder="1"/>
    <xf numFmtId="0" fontId="0" fillId="8" borderId="15" xfId="0" applyFill="1" applyBorder="1" applyAlignment="1">
      <alignment horizontal="center"/>
    </xf>
    <xf numFmtId="164" fontId="0" fillId="8" borderId="15" xfId="0" applyNumberFormat="1" applyFill="1" applyBorder="1" applyAlignment="1">
      <alignment horizontal="center"/>
    </xf>
    <xf numFmtId="0" fontId="0" fillId="8" borderId="0" xfId="0" applyFill="1" applyBorder="1" applyAlignment="1">
      <alignment horizontal="center"/>
    </xf>
    <xf numFmtId="164" fontId="0" fillId="8" borderId="0" xfId="0" applyNumberFormat="1" applyFill="1" applyBorder="1" applyAlignment="1">
      <alignment horizontal="center"/>
    </xf>
    <xf numFmtId="0" fontId="0" fillId="8" borderId="0" xfId="0" applyNumberFormat="1" applyFill="1" applyBorder="1" applyAlignment="1">
      <alignment horizontal="center"/>
    </xf>
    <xf numFmtId="0" fontId="1" fillId="0" borderId="0" xfId="0" applyFont="1"/>
    <xf numFmtId="0" fontId="24" fillId="0" borderId="0" xfId="0" applyFont="1"/>
    <xf numFmtId="0" fontId="25" fillId="0" borderId="0" xfId="0" applyFont="1"/>
    <xf numFmtId="2" fontId="0" fillId="0" borderId="0" xfId="0" applyNumberFormat="1" applyFill="1"/>
    <xf numFmtId="0" fontId="6" fillId="0" borderId="0" xfId="0" applyFont="1" applyFill="1" applyBorder="1" applyAlignment="1">
      <alignment horizontal="center"/>
    </xf>
    <xf numFmtId="0" fontId="0" fillId="0" borderId="6" xfId="0" applyFill="1" applyBorder="1"/>
    <xf numFmtId="0" fontId="0" fillId="0" borderId="0" xfId="0" applyFill="1" applyBorder="1"/>
    <xf numFmtId="164" fontId="0" fillId="0" borderId="0" xfId="0" applyNumberFormat="1" applyFill="1" applyBorder="1"/>
    <xf numFmtId="2" fontId="0" fillId="0" borderId="0" xfId="0" applyNumberFormat="1" applyFill="1" applyBorder="1"/>
    <xf numFmtId="2" fontId="0" fillId="0" borderId="11" xfId="0" applyNumberFormat="1" applyFill="1" applyBorder="1"/>
    <xf numFmtId="164" fontId="0" fillId="0" borderId="0" xfId="0" applyNumberFormat="1" applyBorder="1"/>
    <xf numFmtId="2" fontId="0" fillId="0" borderId="0" xfId="0" applyNumberFormat="1" applyBorder="1"/>
    <xf numFmtId="2" fontId="0" fillId="0" borderId="11" xfId="0" applyNumberFormat="1" applyBorder="1"/>
    <xf numFmtId="0" fontId="0" fillId="0" borderId="5" xfId="0" applyBorder="1"/>
    <xf numFmtId="0" fontId="0" fillId="0" borderId="12" xfId="0" applyBorder="1"/>
    <xf numFmtId="164" fontId="0" fillId="0" borderId="12" xfId="0" applyNumberFormat="1" applyBorder="1"/>
    <xf numFmtId="2" fontId="0" fillId="0" borderId="12" xfId="0" applyNumberFormat="1" applyBorder="1"/>
    <xf numFmtId="2" fontId="0" fillId="0" borderId="1" xfId="0" applyNumberFormat="1" applyBorder="1"/>
    <xf numFmtId="0" fontId="6" fillId="7" borderId="0" xfId="0" applyFont="1" applyFill="1" applyBorder="1" applyAlignment="1">
      <alignment horizontal="center" wrapText="1"/>
    </xf>
    <xf numFmtId="0" fontId="6" fillId="7" borderId="0" xfId="0" applyFont="1" applyFill="1" applyBorder="1" applyAlignment="1">
      <alignment horizontal="center" vertical="center"/>
    </xf>
    <xf numFmtId="0" fontId="6" fillId="7" borderId="0" xfId="0" applyFont="1" applyFill="1" applyBorder="1" applyAlignment="1">
      <alignment horizontal="center" vertical="center" wrapText="1"/>
    </xf>
    <xf numFmtId="2" fontId="6" fillId="7" borderId="0" xfId="0" applyNumberFormat="1" applyFont="1" applyFill="1" applyBorder="1" applyAlignment="1">
      <alignment horizontal="center" vertical="center"/>
    </xf>
    <xf numFmtId="165" fontId="6" fillId="7" borderId="0" xfId="0" applyNumberFormat="1" applyFont="1" applyFill="1" applyBorder="1" applyAlignment="1">
      <alignment horizontal="center" vertical="center"/>
    </xf>
    <xf numFmtId="2" fontId="6" fillId="7" borderId="0" xfId="0" applyNumberFormat="1" applyFont="1" applyFill="1" applyBorder="1" applyAlignment="1">
      <alignment horizontal="center" vertical="center" wrapText="1"/>
    </xf>
    <xf numFmtId="165" fontId="6" fillId="7" borderId="0" xfId="0" applyNumberFormat="1" applyFont="1" applyFill="1" applyBorder="1" applyAlignment="1">
      <alignment horizontal="center" vertical="center" wrapText="1"/>
    </xf>
    <xf numFmtId="0" fontId="6" fillId="7" borderId="19" xfId="0" applyFont="1" applyFill="1" applyBorder="1" applyAlignment="1">
      <alignment horizontal="center" wrapText="1"/>
    </xf>
    <xf numFmtId="165" fontId="6" fillId="7" borderId="7" xfId="0" applyNumberFormat="1" applyFont="1" applyFill="1" applyBorder="1" applyAlignment="1">
      <alignment horizontal="center"/>
    </xf>
    <xf numFmtId="0" fontId="26" fillId="7" borderId="3" xfId="0" applyFont="1" applyFill="1" applyBorder="1" applyAlignment="1">
      <alignment horizontal="center"/>
    </xf>
    <xf numFmtId="0" fontId="26" fillId="7" borderId="0" xfId="0" applyFont="1" applyFill="1" applyBorder="1" applyAlignment="1">
      <alignment horizontal="center" vertical="top"/>
    </xf>
    <xf numFmtId="0" fontId="17" fillId="7" borderId="6" xfId="0" applyFont="1" applyFill="1" applyBorder="1" applyAlignment="1">
      <alignment horizontal="center" vertical="top"/>
    </xf>
    <xf numFmtId="0" fontId="6" fillId="7" borderId="6" xfId="0" applyFont="1" applyFill="1" applyBorder="1" applyAlignment="1">
      <alignment horizontal="right"/>
    </xf>
    <xf numFmtId="165" fontId="6" fillId="7" borderId="11" xfId="0" applyNumberFormat="1" applyFont="1" applyFill="1" applyBorder="1" applyAlignment="1">
      <alignment horizontal="center" vertical="center" wrapText="1"/>
    </xf>
    <xf numFmtId="0" fontId="0" fillId="7" borderId="1" xfId="0" applyFill="1" applyBorder="1"/>
    <xf numFmtId="166" fontId="6" fillId="0" borderId="0" xfId="0" applyNumberFormat="1" applyFont="1"/>
    <xf numFmtId="0" fontId="6" fillId="0" borderId="8" xfId="0" applyFont="1" applyBorder="1"/>
    <xf numFmtId="0" fontId="6" fillId="0" borderId="15" xfId="0" applyFont="1" applyBorder="1"/>
    <xf numFmtId="2" fontId="6" fillId="0" borderId="15" xfId="0" applyNumberFormat="1" applyFont="1" applyBorder="1"/>
    <xf numFmtId="2" fontId="6" fillId="0" borderId="9" xfId="0" applyNumberFormat="1" applyFont="1" applyBorder="1"/>
    <xf numFmtId="168" fontId="0" fillId="7" borderId="13" xfId="0" applyNumberFormat="1" applyFill="1" applyBorder="1"/>
    <xf numFmtId="10" fontId="0" fillId="7" borderId="3" xfId="0" applyNumberFormat="1" applyFill="1" applyBorder="1" applyAlignment="1"/>
    <xf numFmtId="0" fontId="0" fillId="9" borderId="6" xfId="0" applyFill="1" applyBorder="1" applyAlignment="1">
      <alignment wrapText="1"/>
    </xf>
    <xf numFmtId="0" fontId="0" fillId="9" borderId="0" xfId="0" applyFill="1" applyBorder="1" applyAlignment="1"/>
    <xf numFmtId="0" fontId="0" fillId="9" borderId="0" xfId="0" applyFill="1" applyBorder="1"/>
    <xf numFmtId="0" fontId="0" fillId="9" borderId="11" xfId="0" applyFill="1" applyBorder="1"/>
    <xf numFmtId="169" fontId="0" fillId="9" borderId="0" xfId="0" applyNumberFormat="1" applyFill="1" applyBorder="1"/>
    <xf numFmtId="0" fontId="0" fillId="9" borderId="6" xfId="0" applyFill="1" applyBorder="1"/>
    <xf numFmtId="0" fontId="0" fillId="9" borderId="5" xfId="0" applyFill="1" applyBorder="1"/>
    <xf numFmtId="0" fontId="0" fillId="9" borderId="12" xfId="0" applyFill="1" applyBorder="1"/>
    <xf numFmtId="169" fontId="0" fillId="9" borderId="12" xfId="0" applyNumberFormat="1" applyFill="1" applyBorder="1"/>
    <xf numFmtId="0" fontId="0" fillId="9" borderId="1" xfId="0" applyFill="1" applyBorder="1"/>
    <xf numFmtId="10" fontId="0" fillId="7" borderId="4" xfId="0" applyNumberFormat="1" applyFill="1" applyBorder="1" applyAlignment="1"/>
    <xf numFmtId="0" fontId="6" fillId="7" borderId="4" xfId="0" applyFont="1" applyFill="1" applyBorder="1" applyAlignment="1">
      <alignment horizontal="center" vertical="top"/>
    </xf>
    <xf numFmtId="0" fontId="6" fillId="7" borderId="4" xfId="0" applyFont="1" applyFill="1" applyBorder="1" applyAlignment="1">
      <alignment horizontal="center" vertical="top" wrapText="1"/>
    </xf>
    <xf numFmtId="168" fontId="0" fillId="7" borderId="4" xfId="0" applyNumberFormat="1" applyFill="1" applyBorder="1"/>
    <xf numFmtId="0" fontId="0" fillId="0" borderId="0" xfId="0" applyProtection="1">
      <protection locked="0"/>
    </xf>
    <xf numFmtId="0" fontId="0" fillId="0" borderId="11" xfId="0" applyBorder="1"/>
    <xf numFmtId="0" fontId="1" fillId="10" borderId="8" xfId="0" applyFont="1" applyFill="1" applyBorder="1"/>
    <xf numFmtId="0" fontId="1" fillId="10" borderId="15" xfId="0" applyFont="1" applyFill="1" applyBorder="1"/>
    <xf numFmtId="0" fontId="0" fillId="10" borderId="15" xfId="0" applyFill="1" applyBorder="1"/>
    <xf numFmtId="0" fontId="0" fillId="10" borderId="9" xfId="0" applyFill="1" applyBorder="1"/>
    <xf numFmtId="0" fontId="1" fillId="10" borderId="6" xfId="0" applyFont="1" applyFill="1" applyBorder="1"/>
    <xf numFmtId="0" fontId="0" fillId="10" borderId="0" xfId="0" applyFill="1" applyBorder="1"/>
    <xf numFmtId="0" fontId="0" fillId="10" borderId="11" xfId="0" applyFill="1" applyBorder="1"/>
    <xf numFmtId="0" fontId="0" fillId="10" borderId="6" xfId="0" applyFill="1" applyBorder="1"/>
    <xf numFmtId="0" fontId="1" fillId="10" borderId="0" xfId="0" applyFont="1" applyFill="1" applyBorder="1"/>
    <xf numFmtId="0" fontId="1" fillId="10" borderId="5" xfId="0" applyFont="1" applyFill="1" applyBorder="1"/>
    <xf numFmtId="0" fontId="1" fillId="10" borderId="12" xfId="0" applyFont="1" applyFill="1" applyBorder="1"/>
    <xf numFmtId="0" fontId="25" fillId="10" borderId="6" xfId="0" applyFont="1" applyFill="1" applyBorder="1"/>
    <xf numFmtId="0" fontId="0" fillId="0" borderId="6" xfId="0" applyBorder="1" applyAlignment="1">
      <alignment wrapText="1"/>
    </xf>
    <xf numFmtId="49" fontId="0" fillId="0" borderId="0" xfId="0" applyNumberFormat="1"/>
    <xf numFmtId="0" fontId="0" fillId="9" borderId="6" xfId="0" applyFill="1" applyBorder="1" applyAlignment="1">
      <alignment horizontal="center"/>
    </xf>
    <xf numFmtId="0" fontId="0" fillId="9" borderId="0" xfId="0" applyFill="1" applyBorder="1" applyAlignment="1">
      <alignment horizontal="center"/>
    </xf>
    <xf numFmtId="0" fontId="0" fillId="9" borderId="11" xfId="0" applyFill="1" applyBorder="1" applyAlignment="1">
      <alignment horizontal="center"/>
    </xf>
    <xf numFmtId="0" fontId="0" fillId="9" borderId="11" xfId="0" applyFill="1" applyBorder="1" applyAlignment="1">
      <alignment horizontal="left" vertical="top"/>
    </xf>
    <xf numFmtId="0" fontId="0" fillId="0" borderId="0" xfId="0" applyBorder="1" applyAlignment="1" applyProtection="1">
      <alignment horizontal="center"/>
      <protection locked="0" hidden="1"/>
    </xf>
    <xf numFmtId="0" fontId="0" fillId="9" borderId="6" xfId="0" applyFill="1" applyBorder="1" applyAlignment="1">
      <alignment vertical="center" wrapText="1"/>
    </xf>
    <xf numFmtId="0" fontId="0" fillId="9" borderId="11" xfId="0" applyFill="1" applyBorder="1" applyAlignment="1">
      <alignment vertical="center"/>
    </xf>
    <xf numFmtId="0" fontId="0" fillId="0" borderId="0" xfId="0" applyAlignment="1">
      <alignment vertical="center"/>
    </xf>
    <xf numFmtId="0" fontId="0" fillId="6" borderId="5" xfId="0" applyFill="1" applyBorder="1" applyAlignment="1">
      <alignment vertical="center" wrapText="1"/>
    </xf>
    <xf numFmtId="0" fontId="0" fillId="6" borderId="1" xfId="0" applyFill="1" applyBorder="1" applyAlignment="1">
      <alignment vertical="center"/>
    </xf>
    <xf numFmtId="0" fontId="0" fillId="0" borderId="0" xfId="0" applyProtection="1"/>
    <xf numFmtId="0" fontId="0" fillId="0" borderId="0" xfId="0" applyAlignment="1" applyProtection="1">
      <alignment wrapText="1"/>
    </xf>
    <xf numFmtId="0" fontId="0" fillId="9" borderId="15" xfId="0" applyFill="1" applyBorder="1"/>
    <xf numFmtId="0" fontId="0" fillId="9" borderId="9" xfId="0" applyFill="1" applyBorder="1"/>
    <xf numFmtId="0" fontId="0" fillId="9" borderId="8" xfId="0" applyFill="1" applyBorder="1"/>
    <xf numFmtId="0" fontId="19" fillId="7" borderId="6" xfId="0" applyFont="1" applyFill="1" applyBorder="1" applyAlignment="1">
      <alignment horizontal="center" vertical="center"/>
    </xf>
    <xf numFmtId="0" fontId="19" fillId="7" borderId="0" xfId="0" applyFont="1" applyFill="1" applyBorder="1" applyAlignment="1">
      <alignment horizontal="center" vertical="center"/>
    </xf>
    <xf numFmtId="0" fontId="0" fillId="0" borderId="20" xfId="0" applyBorder="1" applyAlignment="1">
      <alignment wrapText="1"/>
    </xf>
    <xf numFmtId="0" fontId="0" fillId="9" borderId="15"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9" borderId="1" xfId="0" applyFill="1" applyBorder="1" applyAlignment="1">
      <alignment horizontal="left" vertical="top"/>
    </xf>
    <xf numFmtId="0" fontId="0" fillId="6" borderId="4" xfId="0" applyFill="1" applyBorder="1"/>
    <xf numFmtId="0" fontId="6" fillId="2" borderId="3" xfId="0" applyFont="1" applyFill="1" applyBorder="1" applyAlignment="1" applyProtection="1">
      <alignment horizontal="center" vertical="center" wrapText="1"/>
    </xf>
    <xf numFmtId="0" fontId="6" fillId="2" borderId="8" xfId="0" applyFont="1" applyFill="1" applyBorder="1" applyAlignment="1" applyProtection="1">
      <alignment horizontal="center" vertical="center" wrapText="1"/>
    </xf>
    <xf numFmtId="0" fontId="0" fillId="0" borderId="0" xfId="0" applyFill="1" applyBorder="1" applyProtection="1"/>
    <xf numFmtId="0" fontId="6" fillId="2" borderId="7" xfId="0" applyFont="1" applyFill="1" applyBorder="1" applyAlignment="1" applyProtection="1">
      <alignment horizontal="center" vertical="center" wrapText="1"/>
    </xf>
    <xf numFmtId="0" fontId="9" fillId="2" borderId="5" xfId="0" applyFont="1" applyFill="1" applyBorder="1" applyAlignment="1" applyProtection="1">
      <alignment horizontal="center" vertical="center" wrapText="1"/>
    </xf>
    <xf numFmtId="0" fontId="9" fillId="2" borderId="7" xfId="0" applyFont="1" applyFill="1" applyBorder="1" applyAlignment="1" applyProtection="1">
      <alignment horizontal="center" vertical="center" wrapText="1"/>
    </xf>
    <xf numFmtId="0" fontId="0" fillId="0" borderId="0" xfId="0" applyNumberFormat="1" applyFill="1" applyBorder="1" applyProtection="1"/>
    <xf numFmtId="0" fontId="0" fillId="0" borderId="0" xfId="0" applyNumberFormat="1" applyProtection="1"/>
    <xf numFmtId="0" fontId="6" fillId="2" borderId="9" xfId="0" applyFont="1" applyFill="1" applyBorder="1" applyAlignment="1" applyProtection="1">
      <alignment horizontal="center" vertical="center" wrapText="1"/>
    </xf>
    <xf numFmtId="0" fontId="0" fillId="0" borderId="0" xfId="0" applyFill="1" applyBorder="1" applyAlignment="1" applyProtection="1">
      <alignment wrapText="1"/>
    </xf>
    <xf numFmtId="0" fontId="5" fillId="0" borderId="0" xfId="0" applyFont="1" applyProtection="1">
      <protection locked="0"/>
    </xf>
    <xf numFmtId="0" fontId="0" fillId="0" borderId="0" xfId="0" applyProtection="1">
      <protection locked="0" hidden="1"/>
    </xf>
    <xf numFmtId="2" fontId="0" fillId="0" borderId="0" xfId="0" applyNumberFormat="1" applyProtection="1">
      <protection locked="0" hidden="1"/>
    </xf>
    <xf numFmtId="0" fontId="0" fillId="0" borderId="0" xfId="0" applyBorder="1" applyAlignment="1" applyProtection="1">
      <alignment horizontal="center" wrapText="1"/>
      <protection locked="0" hidden="1"/>
    </xf>
    <xf numFmtId="0" fontId="0" fillId="0" borderId="0" xfId="0" applyBorder="1" applyProtection="1">
      <protection locked="0" hidden="1"/>
    </xf>
    <xf numFmtId="0" fontId="5" fillId="0" borderId="0" xfId="0" applyFont="1" applyProtection="1">
      <protection locked="0" hidden="1"/>
    </xf>
    <xf numFmtId="0" fontId="0" fillId="9" borderId="4" xfId="0" applyFill="1" applyBorder="1" applyProtection="1">
      <protection locked="0"/>
    </xf>
    <xf numFmtId="0" fontId="19" fillId="9" borderId="13" xfId="0" applyFont="1" applyFill="1" applyBorder="1" applyAlignment="1" applyProtection="1">
      <alignment horizontal="center" vertical="center"/>
      <protection locked="0"/>
    </xf>
    <xf numFmtId="167" fontId="0" fillId="9" borderId="4" xfId="0" applyNumberFormat="1" applyFill="1" applyBorder="1" applyAlignment="1" applyProtection="1">
      <alignment horizontal="center"/>
      <protection hidden="1"/>
    </xf>
    <xf numFmtId="0" fontId="0" fillId="9" borderId="8" xfId="0" applyNumberFormat="1" applyFill="1" applyBorder="1" applyAlignment="1" applyProtection="1">
      <alignment horizontal="center"/>
    </xf>
    <xf numFmtId="0" fontId="0" fillId="9" borderId="5" xfId="0" applyNumberFormat="1" applyFill="1" applyBorder="1" applyAlignment="1" applyProtection="1">
      <alignment horizontal="center"/>
    </xf>
    <xf numFmtId="167" fontId="5" fillId="11" borderId="0" xfId="0" applyNumberFormat="1" applyFont="1" applyFill="1" applyBorder="1" applyAlignment="1" applyProtection="1">
      <alignment horizontal="center"/>
      <protection locked="0" hidden="1"/>
    </xf>
    <xf numFmtId="167" fontId="5" fillId="11" borderId="0" xfId="0" applyNumberFormat="1" applyFont="1" applyFill="1" applyBorder="1" applyProtection="1">
      <protection locked="0" hidden="1"/>
    </xf>
    <xf numFmtId="167" fontId="0" fillId="11" borderId="0" xfId="0" applyNumberFormat="1" applyFill="1" applyBorder="1" applyProtection="1">
      <protection hidden="1"/>
    </xf>
    <xf numFmtId="167" fontId="5" fillId="11" borderId="0" xfId="0" applyNumberFormat="1" applyFont="1" applyFill="1" applyBorder="1" applyProtection="1">
      <protection hidden="1"/>
    </xf>
    <xf numFmtId="0" fontId="0" fillId="11" borderId="0" xfId="0" applyFill="1" applyBorder="1" applyProtection="1"/>
    <xf numFmtId="0" fontId="0" fillId="11" borderId="0" xfId="0" applyFill="1" applyProtection="1"/>
    <xf numFmtId="0" fontId="0" fillId="11" borderId="0" xfId="0" applyNumberFormat="1" applyFill="1" applyBorder="1" applyProtection="1"/>
    <xf numFmtId="2" fontId="0" fillId="11" borderId="0" xfId="0" applyNumberFormat="1" applyFill="1" applyBorder="1" applyAlignment="1" applyProtection="1">
      <alignment horizontal="center"/>
    </xf>
    <xf numFmtId="0" fontId="0" fillId="11" borderId="0" xfId="0" applyFill="1" applyBorder="1" applyAlignment="1" applyProtection="1">
      <alignment wrapText="1"/>
    </xf>
    <xf numFmtId="0" fontId="6" fillId="11" borderId="0" xfId="0" applyFont="1" applyFill="1" applyAlignment="1" applyProtection="1">
      <alignment horizontal="center"/>
    </xf>
    <xf numFmtId="0" fontId="0" fillId="11" borderId="0" xfId="0" applyFill="1" applyAlignment="1" applyProtection="1">
      <alignment horizontal="center"/>
    </xf>
    <xf numFmtId="0" fontId="0" fillId="11" borderId="0" xfId="0" applyFill="1" applyAlignment="1" applyProtection="1">
      <alignment wrapText="1"/>
    </xf>
    <xf numFmtId="0" fontId="0" fillId="11" borderId="0" xfId="0" applyFill="1" applyAlignment="1" applyProtection="1">
      <alignment horizontal="left" indent="5"/>
    </xf>
    <xf numFmtId="0" fontId="1" fillId="11" borderId="0" xfId="0" applyFont="1" applyFill="1" applyAlignment="1" applyProtection="1">
      <alignment horizontal="left" indent="3"/>
    </xf>
    <xf numFmtId="0" fontId="6" fillId="9" borderId="3" xfId="0" applyNumberFormat="1" applyFont="1" applyFill="1" applyBorder="1" applyAlignment="1" applyProtection="1">
      <alignment horizontal="center" vertical="center"/>
      <protection hidden="1"/>
    </xf>
    <xf numFmtId="0" fontId="0" fillId="11" borderId="0" xfId="0" applyNumberFormat="1" applyFill="1" applyBorder="1" applyAlignment="1" applyProtection="1">
      <alignment horizontal="center"/>
    </xf>
    <xf numFmtId="0" fontId="19" fillId="9" borderId="4" xfId="0" applyFont="1" applyFill="1" applyBorder="1" applyAlignment="1" applyProtection="1">
      <alignment horizontal="center" vertical="center"/>
      <protection locked="0"/>
    </xf>
    <xf numFmtId="0" fontId="19" fillId="9" borderId="14" xfId="0" applyFont="1" applyFill="1" applyBorder="1" applyAlignment="1" applyProtection="1">
      <alignment horizontal="center" vertical="center"/>
      <protection locked="0"/>
    </xf>
    <xf numFmtId="167" fontId="0" fillId="9" borderId="2" xfId="0" applyNumberFormat="1" applyFill="1" applyBorder="1" applyAlignment="1" applyProtection="1">
      <alignment horizontal="center"/>
      <protection hidden="1"/>
    </xf>
    <xf numFmtId="0" fontId="0" fillId="9" borderId="0" xfId="0" applyNumberFormat="1" applyFill="1" applyBorder="1" applyAlignment="1" applyProtection="1">
      <alignment horizontal="center"/>
    </xf>
    <xf numFmtId="0" fontId="0" fillId="9" borderId="12" xfId="0" applyNumberFormat="1" applyFill="1" applyBorder="1" applyAlignment="1" applyProtection="1">
      <alignment horizontal="center"/>
    </xf>
    <xf numFmtId="0" fontId="6" fillId="9" borderId="3" xfId="0" applyFont="1" applyFill="1" applyBorder="1" applyAlignment="1" applyProtection="1">
      <alignment horizontal="center"/>
    </xf>
    <xf numFmtId="0" fontId="6" fillId="9" borderId="10" xfId="0" applyFont="1" applyFill="1" applyBorder="1" applyAlignment="1" applyProtection="1">
      <alignment horizontal="center"/>
    </xf>
    <xf numFmtId="0" fontId="6" fillId="9" borderId="7" xfId="0" applyFont="1" applyFill="1" applyBorder="1" applyAlignment="1" applyProtection="1">
      <alignment wrapText="1"/>
    </xf>
    <xf numFmtId="0" fontId="0" fillId="11" borderId="0" xfId="0" applyFill="1"/>
    <xf numFmtId="0" fontId="0" fillId="11" borderId="0" xfId="0" applyFill="1" applyBorder="1"/>
    <xf numFmtId="0" fontId="0" fillId="11" borderId="0" xfId="0" applyFill="1" applyAlignment="1">
      <alignment wrapText="1"/>
    </xf>
    <xf numFmtId="0" fontId="0" fillId="11" borderId="0" xfId="0" applyFill="1" applyAlignment="1"/>
    <xf numFmtId="0" fontId="22" fillId="11" borderId="0" xfId="0" applyFont="1" applyFill="1"/>
    <xf numFmtId="0" fontId="20" fillId="11" borderId="0" xfId="0" applyFont="1" applyFill="1"/>
    <xf numFmtId="0" fontId="23" fillId="11" borderId="0" xfId="0" applyFont="1" applyFill="1" applyAlignment="1">
      <alignment vertical="top"/>
    </xf>
    <xf numFmtId="0" fontId="0" fillId="11" borderId="0" xfId="0" applyFill="1" applyBorder="1" applyAlignment="1"/>
    <xf numFmtId="0" fontId="0" fillId="11" borderId="0" xfId="0" applyFill="1" applyBorder="1" applyProtection="1">
      <protection hidden="1"/>
    </xf>
    <xf numFmtId="0" fontId="0" fillId="11" borderId="0" xfId="0" applyFill="1" applyBorder="1" applyAlignment="1" applyProtection="1">
      <alignment vertical="center"/>
      <protection hidden="1"/>
    </xf>
    <xf numFmtId="0" fontId="0" fillId="11" borderId="0" xfId="0" applyFill="1" applyAlignment="1">
      <alignment vertical="center"/>
    </xf>
    <xf numFmtId="0" fontId="0" fillId="11" borderId="0" xfId="0" applyFill="1" applyAlignment="1" applyProtection="1">
      <alignment vertical="center"/>
      <protection hidden="1"/>
    </xf>
    <xf numFmtId="0" fontId="0" fillId="11" borderId="0" xfId="0" applyFill="1" applyBorder="1" applyAlignment="1">
      <alignment horizontal="center" wrapText="1"/>
    </xf>
    <xf numFmtId="0" fontId="0" fillId="11" borderId="0" xfId="0" applyFill="1" applyBorder="1" applyAlignment="1">
      <alignment horizontal="center" vertical="center" wrapText="1"/>
    </xf>
    <xf numFmtId="0" fontId="0" fillId="11" borderId="0" xfId="0" applyFill="1" applyProtection="1">
      <protection locked="0"/>
    </xf>
    <xf numFmtId="0" fontId="0" fillId="11" borderId="0" xfId="0" applyFill="1" applyProtection="1">
      <protection locked="0" hidden="1"/>
    </xf>
    <xf numFmtId="0" fontId="0" fillId="11" borderId="0" xfId="0" applyFill="1" applyProtection="1">
      <protection hidden="1"/>
    </xf>
    <xf numFmtId="0" fontId="0" fillId="11" borderId="0" xfId="0" applyFill="1" applyBorder="1" applyAlignment="1" applyProtection="1">
      <alignment horizontal="center"/>
      <protection locked="0" hidden="1"/>
    </xf>
    <xf numFmtId="0" fontId="0" fillId="11" borderId="0" xfId="0" applyFill="1" applyBorder="1" applyAlignment="1">
      <alignment vertical="center"/>
    </xf>
    <xf numFmtId="0" fontId="0" fillId="11" borderId="0" xfId="0" applyFill="1" applyBorder="1" applyProtection="1">
      <protection locked="0"/>
    </xf>
    <xf numFmtId="167" fontId="5" fillId="11" borderId="0" xfId="0" applyNumberFormat="1" applyFont="1" applyFill="1" applyBorder="1" applyAlignment="1" applyProtection="1">
      <alignment horizontal="center"/>
      <protection locked="0"/>
    </xf>
    <xf numFmtId="0" fontId="0" fillId="11" borderId="5" xfId="0" applyFill="1" applyBorder="1" applyAlignment="1">
      <alignment horizontal="left" vertical="top" wrapText="1"/>
    </xf>
    <xf numFmtId="0" fontId="0" fillId="11" borderId="12" xfId="0" applyFill="1" applyBorder="1"/>
    <xf numFmtId="0" fontId="6" fillId="7" borderId="0" xfId="0" applyFont="1" applyFill="1" applyBorder="1" applyAlignment="1">
      <alignment horizontal="right" vertical="center"/>
    </xf>
    <xf numFmtId="0" fontId="6" fillId="7" borderId="4" xfId="0" applyFont="1" applyFill="1" applyBorder="1" applyAlignment="1">
      <alignment horizontal="center" vertical="center"/>
    </xf>
    <xf numFmtId="0" fontId="19" fillId="9" borderId="3" xfId="0" applyFont="1" applyFill="1" applyBorder="1" applyAlignment="1" applyProtection="1">
      <alignment horizontal="center" vertical="center"/>
      <protection locked="0"/>
    </xf>
    <xf numFmtId="0" fontId="6" fillId="9" borderId="10" xfId="0" applyFont="1" applyFill="1" applyBorder="1" applyAlignment="1" applyProtection="1">
      <alignment wrapText="1"/>
    </xf>
    <xf numFmtId="0" fontId="0" fillId="9" borderId="4" xfId="0" applyFill="1" applyBorder="1" applyAlignment="1">
      <alignment horizontal="center" vertical="top" wrapText="1"/>
    </xf>
    <xf numFmtId="0" fontId="0" fillId="4" borderId="15" xfId="0" applyFill="1" applyBorder="1"/>
    <xf numFmtId="0" fontId="0" fillId="4" borderId="9" xfId="0" applyFill="1" applyBorder="1"/>
    <xf numFmtId="0" fontId="0" fillId="4" borderId="11" xfId="0" applyFill="1" applyBorder="1"/>
    <xf numFmtId="0" fontId="0" fillId="4" borderId="6" xfId="0" applyFill="1" applyBorder="1" applyAlignment="1">
      <alignment wrapText="1"/>
    </xf>
    <xf numFmtId="167" fontId="5" fillId="4" borderId="0" xfId="0" applyNumberFormat="1" applyFont="1" applyFill="1" applyBorder="1" applyAlignment="1" applyProtection="1">
      <alignment horizontal="center"/>
      <protection locked="0" hidden="1"/>
    </xf>
    <xf numFmtId="167" fontId="5" fillId="4" borderId="0" xfId="0" applyNumberFormat="1" applyFont="1" applyFill="1" applyBorder="1" applyAlignment="1" applyProtection="1">
      <alignment horizontal="center"/>
      <protection hidden="1"/>
    </xf>
    <xf numFmtId="0" fontId="36" fillId="11" borderId="0" xfId="0" applyFont="1" applyFill="1" applyBorder="1" applyProtection="1">
      <protection locked="0"/>
    </xf>
    <xf numFmtId="0" fontId="37" fillId="11" borderId="0" xfId="0" applyFont="1" applyFill="1" applyBorder="1" applyProtection="1"/>
    <xf numFmtId="0" fontId="23" fillId="7" borderId="7" xfId="0" applyFont="1" applyFill="1" applyBorder="1" applyAlignment="1">
      <alignment vertical="top" wrapText="1"/>
    </xf>
    <xf numFmtId="0" fontId="6" fillId="4" borderId="8" xfId="0" applyFont="1" applyFill="1" applyBorder="1"/>
    <xf numFmtId="0" fontId="0" fillId="0" borderId="0" xfId="0" applyFill="1" applyProtection="1"/>
    <xf numFmtId="0" fontId="0" fillId="0" borderId="0" xfId="0" applyFill="1" applyAlignment="1" applyProtection="1">
      <alignment wrapText="1"/>
    </xf>
    <xf numFmtId="0" fontId="24" fillId="0" borderId="0" xfId="0" applyFont="1" applyFill="1"/>
    <xf numFmtId="0" fontId="0" fillId="6" borderId="0" xfId="0" applyFill="1"/>
    <xf numFmtId="0" fontId="0" fillId="2" borderId="0" xfId="0" applyFill="1"/>
    <xf numFmtId="0" fontId="38" fillId="0" borderId="21" xfId="0" applyFont="1" applyBorder="1" applyAlignment="1">
      <alignment wrapText="1"/>
    </xf>
    <xf numFmtId="0" fontId="38" fillId="0" borderId="20" xfId="0" applyFont="1" applyBorder="1" applyAlignment="1">
      <alignment wrapText="1"/>
    </xf>
    <xf numFmtId="0" fontId="24" fillId="0" borderId="20" xfId="0" applyFont="1" applyBorder="1" applyAlignment="1" applyProtection="1">
      <alignment vertical="center" wrapText="1"/>
      <protection locked="0"/>
    </xf>
    <xf numFmtId="0" fontId="0" fillId="0" borderId="0" xfId="0" applyBorder="1" applyAlignment="1" applyProtection="1">
      <alignment horizontal="center" wrapText="1"/>
      <protection hidden="1"/>
    </xf>
    <xf numFmtId="0" fontId="0" fillId="0" borderId="0" xfId="0" applyProtection="1">
      <protection hidden="1"/>
    </xf>
    <xf numFmtId="0" fontId="0" fillId="0" borderId="0" xfId="0" applyBorder="1" applyProtection="1">
      <protection hidden="1"/>
    </xf>
    <xf numFmtId="0" fontId="0" fillId="11" borderId="0" xfId="0" applyFill="1" applyBorder="1" applyAlignment="1" applyProtection="1">
      <alignment horizontal="center"/>
      <protection hidden="1"/>
    </xf>
    <xf numFmtId="1" fontId="0" fillId="0" borderId="0" xfId="0" applyNumberFormat="1" applyBorder="1" applyAlignment="1" applyProtection="1">
      <alignment horizontal="center"/>
      <protection hidden="1"/>
    </xf>
    <xf numFmtId="0" fontId="0" fillId="10" borderId="4" xfId="0" applyFill="1" applyBorder="1" applyAlignment="1">
      <alignment horizontal="center"/>
    </xf>
    <xf numFmtId="165" fontId="0" fillId="10" borderId="4" xfId="0" applyNumberFormat="1" applyFill="1" applyBorder="1" applyAlignment="1">
      <alignment horizontal="center"/>
    </xf>
    <xf numFmtId="164" fontId="0" fillId="10" borderId="4" xfId="0" applyNumberFormat="1" applyFill="1" applyBorder="1" applyAlignment="1">
      <alignment horizontal="center"/>
    </xf>
    <xf numFmtId="0" fontId="1" fillId="10" borderId="4" xfId="0" applyFont="1" applyFill="1" applyBorder="1" applyAlignment="1">
      <alignment horizontal="center"/>
    </xf>
    <xf numFmtId="0" fontId="1" fillId="10" borderId="7" xfId="0" applyFont="1" applyFill="1" applyBorder="1" applyAlignment="1">
      <alignment horizontal="center"/>
    </xf>
    <xf numFmtId="0" fontId="0" fillId="10" borderId="7" xfId="0" applyFill="1" applyBorder="1" applyAlignment="1">
      <alignment horizontal="center"/>
    </xf>
    <xf numFmtId="0" fontId="1" fillId="10" borderId="3" xfId="0" applyFont="1" applyFill="1" applyBorder="1" applyAlignment="1">
      <alignment horizontal="center"/>
    </xf>
    <xf numFmtId="0" fontId="0" fillId="10" borderId="3" xfId="0" applyFill="1" applyBorder="1" applyAlignment="1">
      <alignment horizontal="center"/>
    </xf>
    <xf numFmtId="0" fontId="1" fillId="0" borderId="0" xfId="0" applyFont="1" applyBorder="1"/>
    <xf numFmtId="0" fontId="5" fillId="12" borderId="6" xfId="0" applyFont="1" applyFill="1" applyBorder="1"/>
    <xf numFmtId="0" fontId="25" fillId="12" borderId="0" xfId="0" applyFont="1" applyFill="1" applyBorder="1"/>
    <xf numFmtId="0" fontId="25" fillId="12" borderId="4" xfId="0" applyFont="1" applyFill="1" applyBorder="1" applyAlignment="1">
      <alignment horizontal="center"/>
    </xf>
    <xf numFmtId="0" fontId="5" fillId="12" borderId="4" xfId="0" applyFont="1" applyFill="1" applyBorder="1" applyAlignment="1">
      <alignment horizontal="center"/>
    </xf>
    <xf numFmtId="0" fontId="0" fillId="12" borderId="4" xfId="0" applyFill="1" applyBorder="1" applyAlignment="1">
      <alignment horizontal="center"/>
    </xf>
    <xf numFmtId="0" fontId="1" fillId="12" borderId="6" xfId="0" applyFont="1" applyFill="1" applyBorder="1"/>
    <xf numFmtId="0" fontId="29" fillId="0" borderId="21" xfId="0" applyFont="1" applyBorder="1" applyAlignment="1">
      <alignment wrapText="1"/>
    </xf>
    <xf numFmtId="0" fontId="42" fillId="0" borderId="20" xfId="0" applyFont="1" applyBorder="1" applyAlignment="1">
      <alignment wrapText="1"/>
    </xf>
    <xf numFmtId="0" fontId="6" fillId="2" borderId="1" xfId="0" applyFont="1" applyFill="1" applyBorder="1" applyAlignment="1" applyProtection="1">
      <alignment horizontal="center" vertical="center" wrapText="1"/>
    </xf>
    <xf numFmtId="2" fontId="1" fillId="0" borderId="0" xfId="0" applyNumberFormat="1" applyFont="1" applyFill="1"/>
    <xf numFmtId="0" fontId="30" fillId="2" borderId="3" xfId="0" applyFont="1" applyFill="1" applyBorder="1" applyAlignment="1" applyProtection="1">
      <alignment horizontal="center" vertical="center" wrapText="1"/>
    </xf>
    <xf numFmtId="0" fontId="30" fillId="2" borderId="9" xfId="0" applyFont="1" applyFill="1" applyBorder="1" applyAlignment="1" applyProtection="1">
      <alignment horizontal="center" vertical="top" wrapText="1"/>
    </xf>
    <xf numFmtId="167" fontId="1" fillId="11" borderId="0" xfId="0" applyNumberFormat="1" applyFont="1" applyFill="1" applyBorder="1" applyAlignment="1" applyProtection="1">
      <alignment horizontal="center"/>
      <protection locked="0"/>
    </xf>
    <xf numFmtId="0" fontId="6" fillId="2" borderId="8" xfId="0" applyFont="1" applyFill="1" applyBorder="1" applyAlignment="1" applyProtection="1">
      <alignment horizontal="center" vertical="center" wrapText="1"/>
    </xf>
    <xf numFmtId="0" fontId="6" fillId="2" borderId="9" xfId="0" applyFont="1" applyFill="1" applyBorder="1" applyAlignment="1" applyProtection="1">
      <alignment horizontal="center" vertical="center" wrapText="1"/>
    </xf>
    <xf numFmtId="0" fontId="6" fillId="2" borderId="5" xfId="0" applyFont="1" applyFill="1" applyBorder="1" applyAlignment="1" applyProtection="1">
      <alignment horizontal="center" vertical="center" wrapText="1"/>
    </xf>
    <xf numFmtId="0" fontId="6" fillId="2" borderId="1" xfId="0" applyFont="1" applyFill="1" applyBorder="1" applyAlignment="1" applyProtection="1">
      <alignment horizontal="center" vertical="center" wrapText="1"/>
    </xf>
    <xf numFmtId="0" fontId="6" fillId="7" borderId="3" xfId="0" applyFont="1" applyFill="1" applyBorder="1" applyAlignment="1">
      <alignment horizontal="center" vertical="center" wrapText="1"/>
    </xf>
    <xf numFmtId="0" fontId="0" fillId="0" borderId="7" xfId="0" applyBorder="1" applyAlignment="1">
      <alignment horizontal="center" vertical="center" wrapText="1"/>
    </xf>
    <xf numFmtId="0" fontId="28" fillId="7" borderId="0" xfId="0" applyFont="1" applyFill="1" applyBorder="1" applyAlignment="1">
      <alignment vertical="top" wrapText="1"/>
    </xf>
    <xf numFmtId="0" fontId="28" fillId="0" borderId="0" xfId="0" applyFont="1" applyAlignment="1">
      <alignment vertical="top" wrapText="1"/>
    </xf>
    <xf numFmtId="0" fontId="10" fillId="7" borderId="8" xfId="0" applyFont="1" applyFill="1" applyBorder="1" applyAlignment="1">
      <alignment vertical="center" wrapText="1"/>
    </xf>
    <xf numFmtId="0" fontId="10" fillId="7" borderId="15" xfId="0" applyFont="1" applyFill="1" applyBorder="1" applyAlignment="1">
      <alignment vertical="center" wrapText="1"/>
    </xf>
    <xf numFmtId="0" fontId="0" fillId="7" borderId="15" xfId="0" applyFill="1" applyBorder="1" applyAlignment="1">
      <alignment vertical="center" wrapText="1"/>
    </xf>
    <xf numFmtId="0" fontId="0" fillId="7" borderId="9" xfId="0" applyFill="1" applyBorder="1" applyAlignment="1">
      <alignment vertical="center" wrapText="1"/>
    </xf>
    <xf numFmtId="0" fontId="10" fillId="7" borderId="5" xfId="0" applyFont="1" applyFill="1" applyBorder="1" applyAlignment="1">
      <alignment vertical="center" wrapText="1"/>
    </xf>
    <xf numFmtId="0" fontId="10" fillId="7" borderId="12" xfId="0" applyFont="1" applyFill="1" applyBorder="1" applyAlignment="1">
      <alignment vertical="center" wrapText="1"/>
    </xf>
    <xf numFmtId="0" fontId="0" fillId="7" borderId="12" xfId="0" applyFill="1" applyBorder="1" applyAlignment="1">
      <alignment vertical="center" wrapText="1"/>
    </xf>
    <xf numFmtId="0" fontId="0" fillId="7" borderId="1" xfId="0" applyFill="1" applyBorder="1" applyAlignment="1">
      <alignment vertical="center" wrapText="1"/>
    </xf>
    <xf numFmtId="0" fontId="33" fillId="7" borderId="6" xfId="0" applyFont="1" applyFill="1" applyBorder="1" applyAlignment="1">
      <alignment horizontal="center"/>
    </xf>
    <xf numFmtId="0" fontId="34" fillId="7" borderId="0" xfId="0" applyFont="1" applyFill="1" applyBorder="1" applyAlignment="1">
      <alignment horizontal="center"/>
    </xf>
    <xf numFmtId="0" fontId="33" fillId="7" borderId="12" xfId="0" applyFont="1" applyFill="1" applyBorder="1" applyAlignment="1">
      <alignment horizontal="center"/>
    </xf>
    <xf numFmtId="0" fontId="6" fillId="7" borderId="11" xfId="0" applyFont="1" applyFill="1" applyBorder="1" applyAlignment="1">
      <alignment horizontal="right" vertical="center" wrapText="1"/>
    </xf>
    <xf numFmtId="0" fontId="6" fillId="7" borderId="0" xfId="0" applyFont="1" applyFill="1" applyBorder="1" applyAlignment="1">
      <alignment horizontal="right" vertical="center" wrapText="1"/>
    </xf>
    <xf numFmtId="165" fontId="6" fillId="7" borderId="22" xfId="0" applyNumberFormat="1" applyFont="1" applyFill="1" applyBorder="1" applyAlignment="1">
      <alignment horizontal="center" vertical="center"/>
    </xf>
    <xf numFmtId="165" fontId="6" fillId="7" borderId="23" xfId="0" applyNumberFormat="1" applyFont="1" applyFill="1" applyBorder="1" applyAlignment="1">
      <alignment horizontal="center" vertical="center"/>
    </xf>
    <xf numFmtId="0" fontId="19" fillId="7" borderId="8" xfId="0" applyFont="1" applyFill="1" applyBorder="1" applyAlignment="1">
      <alignment horizontal="center" vertical="center"/>
    </xf>
    <xf numFmtId="0" fontId="19" fillId="7" borderId="15" xfId="0" applyFont="1" applyFill="1" applyBorder="1" applyAlignment="1">
      <alignment horizontal="center" vertical="center"/>
    </xf>
    <xf numFmtId="0" fontId="0" fillId="7" borderId="15" xfId="0" applyFill="1" applyBorder="1" applyAlignment="1"/>
    <xf numFmtId="0" fontId="0" fillId="7" borderId="9" xfId="0" applyFill="1" applyBorder="1" applyAlignment="1"/>
    <xf numFmtId="0" fontId="33" fillId="7" borderId="0" xfId="0" applyFont="1" applyFill="1" applyBorder="1" applyAlignment="1">
      <alignment horizontal="center"/>
    </xf>
    <xf numFmtId="165" fontId="6" fillId="7" borderId="3" xfId="0" applyNumberFormat="1" applyFont="1" applyFill="1" applyBorder="1" applyAlignment="1">
      <alignment horizontal="center" vertical="center"/>
    </xf>
    <xf numFmtId="165" fontId="6" fillId="7" borderId="7" xfId="0" applyNumberFormat="1" applyFont="1" applyFill="1" applyBorder="1" applyAlignment="1">
      <alignment horizontal="center" vertical="center"/>
    </xf>
    <xf numFmtId="165" fontId="6" fillId="7" borderId="3" xfId="0" applyNumberFormat="1" applyFont="1" applyFill="1" applyBorder="1" applyAlignment="1">
      <alignment horizontal="center" vertical="center" wrapText="1"/>
    </xf>
    <xf numFmtId="165" fontId="6" fillId="7" borderId="7" xfId="0" applyNumberFormat="1" applyFont="1" applyFill="1" applyBorder="1" applyAlignment="1">
      <alignment horizontal="center" vertical="center" wrapText="1"/>
    </xf>
    <xf numFmtId="165" fontId="6" fillId="7" borderId="10" xfId="0" applyNumberFormat="1" applyFont="1" applyFill="1" applyBorder="1" applyAlignment="1">
      <alignment horizontal="center" vertical="center" wrapText="1"/>
    </xf>
    <xf numFmtId="0" fontId="19" fillId="7" borderId="6" xfId="0" applyFont="1" applyFill="1" applyBorder="1" applyAlignment="1">
      <alignment horizontal="center" vertical="center"/>
    </xf>
    <xf numFmtId="0" fontId="19" fillId="7" borderId="0" xfId="0" applyFont="1" applyFill="1" applyBorder="1" applyAlignment="1">
      <alignment horizontal="center" vertical="center"/>
    </xf>
    <xf numFmtId="0" fontId="0" fillId="7" borderId="11" xfId="0" applyFill="1" applyBorder="1" applyAlignment="1"/>
    <xf numFmtId="0" fontId="6" fillId="7" borderId="10" xfId="0" applyFont="1" applyFill="1" applyBorder="1" applyAlignment="1">
      <alignment horizontal="center" vertical="center"/>
    </xf>
    <xf numFmtId="0" fontId="0" fillId="0" borderId="10" xfId="0" applyBorder="1" applyAlignment="1">
      <alignment vertical="center"/>
    </xf>
    <xf numFmtId="0" fontId="0" fillId="0" borderId="7" xfId="0" applyBorder="1" applyAlignment="1">
      <alignment vertical="center"/>
    </xf>
    <xf numFmtId="0" fontId="6" fillId="7" borderId="10" xfId="0" applyFont="1" applyFill="1" applyBorder="1" applyAlignment="1">
      <alignment horizontal="center" vertical="center" wrapText="1"/>
    </xf>
    <xf numFmtId="0" fontId="0" fillId="0" borderId="10" xfId="0" applyBorder="1" applyAlignment="1">
      <alignment vertical="center" wrapText="1"/>
    </xf>
    <xf numFmtId="0" fontId="29" fillId="7" borderId="8" xfId="0" applyFont="1" applyFill="1" applyBorder="1" applyAlignment="1">
      <alignment wrapText="1"/>
    </xf>
    <xf numFmtId="0" fontId="29" fillId="7" borderId="9" xfId="0" applyFont="1" applyFill="1" applyBorder="1" applyAlignment="1">
      <alignment wrapText="1"/>
    </xf>
    <xf numFmtId="0" fontId="29" fillId="7" borderId="6" xfId="0" applyFont="1" applyFill="1" applyBorder="1" applyAlignment="1">
      <alignment wrapText="1"/>
    </xf>
    <xf numFmtId="0" fontId="29" fillId="7" borderId="11" xfId="0" applyFont="1" applyFill="1" applyBorder="1" applyAlignment="1">
      <alignment wrapText="1"/>
    </xf>
    <xf numFmtId="0" fontId="0" fillId="0" borderId="5" xfId="0" applyBorder="1" applyAlignment="1"/>
    <xf numFmtId="0" fontId="0" fillId="0" borderId="1" xfId="0" applyBorder="1" applyAlignment="1"/>
    <xf numFmtId="0" fontId="0" fillId="7" borderId="8" xfId="0" applyFill="1" applyBorder="1" applyAlignment="1"/>
    <xf numFmtId="0" fontId="0" fillId="0" borderId="6" xfId="0" applyBorder="1" applyAlignment="1"/>
    <xf numFmtId="0" fontId="0" fillId="0" borderId="11" xfId="0" applyBorder="1" applyAlignment="1"/>
    <xf numFmtId="0" fontId="30" fillId="2" borderId="13" xfId="0" applyFont="1" applyFill="1" applyBorder="1" applyAlignment="1">
      <alignment horizontal="center" wrapText="1"/>
    </xf>
    <xf numFmtId="0" fontId="31" fillId="2" borderId="14" xfId="0" applyFont="1" applyFill="1" applyBorder="1" applyAlignment="1">
      <alignment horizontal="center"/>
    </xf>
    <xf numFmtId="0" fontId="31" fillId="2" borderId="2" xfId="0" applyFont="1" applyFill="1" applyBorder="1" applyAlignment="1">
      <alignment horizontal="center"/>
    </xf>
    <xf numFmtId="0" fontId="30" fillId="2" borderId="13" xfId="0" applyFont="1" applyFill="1" applyBorder="1" applyAlignment="1">
      <alignment horizontal="center" vertical="center" wrapText="1"/>
    </xf>
    <xf numFmtId="0" fontId="31" fillId="2" borderId="14" xfId="0" applyFont="1" applyFill="1" applyBorder="1" applyAlignment="1">
      <alignment horizontal="center" vertical="center"/>
    </xf>
    <xf numFmtId="0" fontId="31" fillId="2" borderId="2" xfId="0" applyFont="1" applyFill="1" applyBorder="1" applyAlignment="1">
      <alignment horizontal="center" vertical="center"/>
    </xf>
    <xf numFmtId="0" fontId="0" fillId="2" borderId="8" xfId="0" applyFill="1" applyBorder="1" applyAlignment="1">
      <alignment horizontal="center" wrapText="1"/>
    </xf>
    <xf numFmtId="0" fontId="0" fillId="2" borderId="9" xfId="0" applyFill="1" applyBorder="1" applyAlignment="1">
      <alignment horizontal="center" wrapText="1"/>
    </xf>
    <xf numFmtId="0" fontId="30" fillId="2" borderId="8" xfId="0" applyFont="1" applyFill="1" applyBorder="1" applyAlignment="1">
      <alignment horizontal="center" vertical="top" wrapText="1"/>
    </xf>
    <xf numFmtId="0" fontId="6" fillId="0" borderId="15" xfId="0" applyFont="1" applyBorder="1" applyAlignment="1">
      <alignment horizontal="center" vertical="top" wrapText="1"/>
    </xf>
    <xf numFmtId="0" fontId="0" fillId="0" borderId="15" xfId="0" applyBorder="1" applyAlignment="1"/>
    <xf numFmtId="0" fontId="0" fillId="0" borderId="9" xfId="0" applyBorder="1" applyAlignment="1"/>
    <xf numFmtId="0" fontId="6" fillId="9" borderId="8" xfId="0" applyFont="1" applyFill="1" applyBorder="1" applyAlignment="1">
      <alignment horizontal="center" vertical="center" wrapText="1"/>
    </xf>
    <xf numFmtId="0" fontId="6" fillId="0" borderId="15" xfId="0" applyFont="1" applyBorder="1" applyAlignment="1">
      <alignment vertical="center"/>
    </xf>
    <xf numFmtId="0" fontId="6" fillId="0" borderId="6" xfId="0" applyFont="1" applyBorder="1" applyAlignment="1">
      <alignment vertical="center"/>
    </xf>
    <xf numFmtId="0" fontId="6" fillId="0" borderId="0" xfId="0" applyFont="1" applyBorder="1" applyAlignment="1">
      <alignment vertical="center"/>
    </xf>
    <xf numFmtId="0" fontId="6" fillId="0" borderId="5" xfId="0" applyFont="1" applyBorder="1" applyAlignment="1"/>
    <xf numFmtId="0" fontId="6" fillId="0" borderId="12" xfId="0" applyFont="1" applyBorder="1" applyAlignment="1"/>
    <xf numFmtId="0" fontId="1" fillId="0" borderId="10" xfId="0" applyFont="1" applyBorder="1" applyAlignment="1">
      <alignment horizontal="center" vertical="center"/>
    </xf>
    <xf numFmtId="0" fontId="1" fillId="0" borderId="7" xfId="0" applyFont="1" applyBorder="1" applyAlignment="1"/>
    <xf numFmtId="0" fontId="0" fillId="9" borderId="0" xfId="0" applyFill="1" applyBorder="1" applyAlignment="1">
      <alignment horizontal="right"/>
    </xf>
    <xf numFmtId="0" fontId="1" fillId="0" borderId="10" xfId="0" applyFont="1" applyBorder="1" applyAlignment="1" applyProtection="1">
      <alignment horizontal="center" vertical="center"/>
      <protection locked="0"/>
    </xf>
    <xf numFmtId="0" fontId="1" fillId="0" borderId="7" xfId="0" applyFont="1" applyBorder="1" applyAlignment="1" applyProtection="1">
      <protection locked="0"/>
    </xf>
    <xf numFmtId="0" fontId="6" fillId="6" borderId="15" xfId="0" applyFont="1" applyFill="1" applyBorder="1" applyAlignment="1">
      <alignment horizontal="center" vertical="center"/>
    </xf>
    <xf numFmtId="0" fontId="6" fillId="0" borderId="9" xfId="0" applyFont="1" applyBorder="1" applyAlignment="1">
      <alignment vertical="center"/>
    </xf>
    <xf numFmtId="0" fontId="6" fillId="0" borderId="11" xfId="0" applyFont="1" applyBorder="1" applyAlignment="1">
      <alignment vertical="center"/>
    </xf>
    <xf numFmtId="0" fontId="6" fillId="0" borderId="1" xfId="0" applyFont="1" applyBorder="1" applyAlignment="1"/>
    <xf numFmtId="0" fontId="24" fillId="9" borderId="5" xfId="0" applyFont="1" applyFill="1" applyBorder="1" applyAlignment="1">
      <alignment horizontal="left" vertical="top" wrapText="1"/>
    </xf>
    <xf numFmtId="0" fontId="24" fillId="9" borderId="12" xfId="0" applyFont="1" applyFill="1" applyBorder="1" applyAlignment="1">
      <alignment horizontal="left" vertical="top" wrapText="1"/>
    </xf>
    <xf numFmtId="0" fontId="24" fillId="0" borderId="12" xfId="0" applyFont="1" applyBorder="1" applyAlignment="1"/>
    <xf numFmtId="0" fontId="24" fillId="0" borderId="1" xfId="0" applyFont="1" applyBorder="1" applyAlignment="1"/>
    <xf numFmtId="0" fontId="30" fillId="2" borderId="13" xfId="0" applyFont="1" applyFill="1" applyBorder="1" applyAlignment="1">
      <alignment horizontal="center" vertical="top" wrapText="1"/>
    </xf>
    <xf numFmtId="0" fontId="31" fillId="2" borderId="14" xfId="0" applyFont="1" applyFill="1" applyBorder="1" applyAlignment="1">
      <alignment horizontal="center" vertical="top"/>
    </xf>
    <xf numFmtId="0" fontId="6" fillId="0" borderId="14" xfId="0" applyFont="1" applyBorder="1" applyAlignment="1"/>
    <xf numFmtId="0" fontId="6" fillId="0" borderId="2" xfId="0" applyFont="1" applyBorder="1" applyAlignment="1"/>
    <xf numFmtId="0" fontId="35" fillId="4" borderId="6" xfId="0" applyFont="1" applyFill="1" applyBorder="1" applyAlignment="1">
      <alignment horizontal="left"/>
    </xf>
    <xf numFmtId="0" fontId="24" fillId="4" borderId="0" xfId="0" applyFont="1" applyFill="1" applyBorder="1" applyAlignment="1"/>
    <xf numFmtId="0" fontId="0" fillId="8" borderId="20" xfId="0" applyFill="1" applyBorder="1" applyAlignment="1">
      <alignment wrapText="1"/>
    </xf>
    <xf numFmtId="0" fontId="0" fillId="8" borderId="24" xfId="0" applyFill="1" applyBorder="1" applyAlignment="1">
      <alignment wrapText="1"/>
    </xf>
    <xf numFmtId="0" fontId="0" fillId="8" borderId="25" xfId="0" applyFill="1" applyBorder="1" applyAlignment="1">
      <alignment wrapText="1"/>
    </xf>
    <xf numFmtId="0" fontId="0" fillId="8" borderId="26" xfId="0" applyFill="1" applyBorder="1" applyAlignment="1">
      <alignment wrapText="1"/>
    </xf>
    <xf numFmtId="0" fontId="6" fillId="0" borderId="13" xfId="0" applyFont="1" applyBorder="1" applyAlignment="1">
      <alignment horizontal="center"/>
    </xf>
    <xf numFmtId="0" fontId="6" fillId="0" borderId="14" xfId="0" applyFont="1" applyBorder="1" applyAlignment="1">
      <alignment horizontal="center"/>
    </xf>
    <xf numFmtId="0" fontId="6" fillId="0" borderId="2" xfId="0" applyFont="1" applyBorder="1" applyAlignment="1">
      <alignment horizontal="center"/>
    </xf>
    <xf numFmtId="0" fontId="0" fillId="9" borderId="8" xfId="0" applyFill="1" applyBorder="1" applyAlignment="1">
      <alignment wrapText="1"/>
    </xf>
    <xf numFmtId="0" fontId="0" fillId="9" borderId="15" xfId="0" applyFill="1" applyBorder="1" applyAlignment="1"/>
    <xf numFmtId="0" fontId="0" fillId="9" borderId="9" xfId="0" applyFill="1" applyBorder="1" applyAlignment="1"/>
    <xf numFmtId="0" fontId="0" fillId="8" borderId="27" xfId="0" applyFill="1" applyBorder="1" applyAlignment="1">
      <alignment wrapText="1"/>
    </xf>
    <xf numFmtId="0" fontId="0" fillId="8" borderId="28" xfId="0" applyFill="1" applyBorder="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0" fontId="2" fillId="0" borderId="2" xfId="0" applyFont="1" applyBorder="1" applyAlignment="1">
      <alignment horizontal="center"/>
    </xf>
    <xf numFmtId="0" fontId="0" fillId="4" borderId="6" xfId="0" applyFill="1" applyBorder="1" applyAlignment="1">
      <alignment horizontal="center"/>
    </xf>
    <xf numFmtId="0" fontId="0" fillId="4" borderId="11" xfId="0" applyFill="1" applyBorder="1" applyAlignment="1">
      <alignment horizontal="center"/>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6" fillId="4" borderId="8"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0" fontId="6" fillId="0" borderId="8" xfId="0" applyFont="1" applyBorder="1" applyAlignment="1">
      <alignment horizontal="center" vertical="center"/>
    </xf>
    <xf numFmtId="0" fontId="6" fillId="0" borderId="15" xfId="0" applyFont="1" applyBorder="1" applyAlignment="1">
      <alignment horizontal="center" vertical="center"/>
    </xf>
    <xf numFmtId="0" fontId="6" fillId="0" borderId="9" xfId="0" applyFont="1" applyBorder="1" applyAlignment="1">
      <alignment horizontal="center" vertical="center"/>
    </xf>
    <xf numFmtId="0" fontId="6" fillId="0" borderId="5" xfId="0" applyFont="1" applyBorder="1" applyAlignment="1">
      <alignment horizontal="center" vertical="center"/>
    </xf>
    <xf numFmtId="0" fontId="6" fillId="0" borderId="12" xfId="0" applyFont="1" applyBorder="1" applyAlignment="1">
      <alignment horizontal="center" vertical="center"/>
    </xf>
    <xf numFmtId="0" fontId="6" fillId="0" borderId="1" xfId="0" applyFont="1" applyBorder="1" applyAlignment="1">
      <alignment horizontal="center" vertical="center"/>
    </xf>
    <xf numFmtId="0" fontId="6" fillId="0" borderId="3" xfId="0" applyFont="1" applyBorder="1" applyAlignment="1">
      <alignment horizontal="center" vertical="center" wrapText="1"/>
    </xf>
    <xf numFmtId="0" fontId="6" fillId="0" borderId="7" xfId="0" applyFont="1" applyBorder="1" applyAlignment="1">
      <alignment horizontal="center" vertical="center" wrapText="1"/>
    </xf>
    <xf numFmtId="165" fontId="6" fillId="0" borderId="3" xfId="0" applyNumberFormat="1" applyFont="1" applyBorder="1" applyAlignment="1">
      <alignment horizontal="center" vertical="center"/>
    </xf>
    <xf numFmtId="165" fontId="6" fillId="0" borderId="7" xfId="0" applyNumberFormat="1"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horizontal="center" vertical="center"/>
    </xf>
    <xf numFmtId="0" fontId="0" fillId="0" borderId="7" xfId="0" applyBorder="1" applyAlignment="1">
      <alignment horizontal="center" vertical="center"/>
    </xf>
    <xf numFmtId="0" fontId="6" fillId="0" borderId="0" xfId="0" applyFont="1" applyAlignment="1">
      <alignment horizontal="center"/>
    </xf>
  </cellXfs>
  <cellStyles count="1">
    <cellStyle name="Normal" xfId="0" builtinId="0"/>
  </cellStyles>
  <dxfs count="64">
    <dxf>
      <fill>
        <patternFill>
          <bgColor indexed="10"/>
        </patternFill>
      </fill>
    </dxf>
    <dxf>
      <fill>
        <patternFill>
          <bgColor indexed="34"/>
        </patternFill>
      </fill>
    </dxf>
    <dxf>
      <fill>
        <patternFill>
          <bgColor indexed="11"/>
        </patternFill>
      </fill>
    </dxf>
    <dxf>
      <fill>
        <patternFill>
          <bgColor indexed="10"/>
        </patternFill>
      </fill>
    </dxf>
    <dxf>
      <fill>
        <patternFill>
          <bgColor indexed="34"/>
        </patternFill>
      </fill>
    </dxf>
    <dxf>
      <fill>
        <patternFill>
          <bgColor indexed="11"/>
        </patternFill>
      </fill>
    </dxf>
    <dxf>
      <fill>
        <patternFill>
          <bgColor indexed="10"/>
        </patternFill>
      </fill>
    </dxf>
    <dxf>
      <fill>
        <patternFill>
          <bgColor indexed="34"/>
        </patternFill>
      </fill>
    </dxf>
    <dxf>
      <fill>
        <patternFill>
          <bgColor indexed="11"/>
        </patternFill>
      </fill>
    </dxf>
    <dxf>
      <fill>
        <patternFill>
          <bgColor indexed="10"/>
        </patternFill>
      </fill>
    </dxf>
    <dxf>
      <fill>
        <patternFill>
          <bgColor indexed="34"/>
        </patternFill>
      </fill>
    </dxf>
    <dxf>
      <fill>
        <patternFill>
          <bgColor indexed="11"/>
        </patternFill>
      </fill>
    </dxf>
    <dxf>
      <fill>
        <patternFill>
          <bgColor indexed="10"/>
        </patternFill>
      </fill>
    </dxf>
    <dxf>
      <fill>
        <patternFill>
          <bgColor indexed="34"/>
        </patternFill>
      </fill>
    </dxf>
    <dxf>
      <fill>
        <patternFill>
          <bgColor indexed="11"/>
        </patternFill>
      </fill>
    </dxf>
    <dxf>
      <fill>
        <patternFill>
          <bgColor indexed="10"/>
        </patternFill>
      </fill>
    </dxf>
    <dxf>
      <fill>
        <patternFill>
          <bgColor indexed="34"/>
        </patternFill>
      </fill>
    </dxf>
    <dxf>
      <fill>
        <patternFill>
          <bgColor indexed="11"/>
        </patternFill>
      </fill>
    </dxf>
    <dxf>
      <fill>
        <patternFill>
          <bgColor indexed="10"/>
        </patternFill>
      </fill>
    </dxf>
    <dxf>
      <fill>
        <patternFill>
          <bgColor indexed="34"/>
        </patternFill>
      </fill>
    </dxf>
    <dxf>
      <fill>
        <patternFill>
          <bgColor indexed="11"/>
        </patternFill>
      </fill>
    </dxf>
    <dxf>
      <fill>
        <patternFill>
          <bgColor indexed="10"/>
        </patternFill>
      </fill>
    </dxf>
    <dxf>
      <fill>
        <patternFill>
          <bgColor indexed="34"/>
        </patternFill>
      </fill>
    </dxf>
    <dxf>
      <fill>
        <patternFill>
          <bgColor indexed="11"/>
        </patternFill>
      </fill>
    </dxf>
    <dxf>
      <fill>
        <patternFill>
          <bgColor indexed="10"/>
        </patternFill>
      </fill>
    </dxf>
    <dxf>
      <fill>
        <patternFill>
          <bgColor indexed="34"/>
        </patternFill>
      </fill>
    </dxf>
    <dxf>
      <fill>
        <patternFill>
          <bgColor indexed="11"/>
        </patternFill>
      </fill>
    </dxf>
    <dxf>
      <fill>
        <patternFill>
          <bgColor indexed="11"/>
        </patternFill>
      </fill>
    </dxf>
    <dxf>
      <fill>
        <patternFill>
          <bgColor indexed="13"/>
        </patternFill>
      </fill>
    </dxf>
    <dxf>
      <fill>
        <patternFill>
          <bgColor indexed="10"/>
        </patternFill>
      </fill>
    </dxf>
    <dxf>
      <fill>
        <patternFill>
          <bgColor indexed="10"/>
        </patternFill>
      </fill>
    </dxf>
    <dxf>
      <fill>
        <patternFill>
          <bgColor indexed="10"/>
        </patternFill>
      </fill>
    </dxf>
    <dxf>
      <fill>
        <patternFill>
          <bgColor indexed="12"/>
        </patternFill>
      </fill>
      <border>
        <left style="thin">
          <color indexed="64"/>
        </left>
        <right style="thin">
          <color indexed="64"/>
        </right>
        <top style="thin">
          <color indexed="64"/>
        </top>
        <bottom style="thin">
          <color indexed="64"/>
        </bottom>
      </border>
    </dxf>
    <dxf>
      <fill>
        <patternFill>
          <bgColor indexed="12"/>
        </patternFill>
      </fill>
      <border>
        <left style="thin">
          <color indexed="64"/>
        </left>
        <right style="thin">
          <color indexed="64"/>
        </right>
        <top style="thin">
          <color indexed="64"/>
        </top>
        <bottom style="thin">
          <color indexed="64"/>
        </bottom>
      </border>
    </dxf>
    <dxf>
      <fill>
        <patternFill>
          <bgColor indexed="43"/>
        </patternFill>
      </fill>
      <border>
        <left style="thin">
          <color indexed="64"/>
        </left>
        <right style="thin">
          <color indexed="64"/>
        </right>
        <top style="thin">
          <color indexed="64"/>
        </top>
        <bottom style="thin">
          <color indexed="64"/>
        </bottom>
      </border>
    </dxf>
    <dxf>
      <fill>
        <patternFill>
          <bgColor indexed="43"/>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10"/>
        </patternFill>
      </fill>
    </dxf>
    <dxf>
      <fill>
        <patternFill>
          <bgColor indexed="10"/>
        </patternFill>
      </fill>
    </dxf>
    <dxf>
      <fill>
        <patternFill>
          <bgColor indexed="34"/>
        </patternFill>
      </fill>
    </dxf>
    <dxf>
      <fill>
        <patternFill>
          <bgColor indexed="11"/>
        </patternFill>
      </fill>
    </dxf>
    <dxf>
      <fill>
        <patternFill>
          <bgColor indexed="10"/>
        </patternFill>
      </fill>
    </dxf>
    <dxf>
      <fill>
        <patternFill>
          <bgColor indexed="34"/>
        </patternFill>
      </fill>
    </dxf>
    <dxf>
      <fill>
        <patternFill>
          <bgColor indexed="11"/>
        </patternFill>
      </fill>
    </dxf>
    <dxf>
      <fill>
        <patternFill>
          <bgColor indexed="11"/>
        </patternFill>
      </fill>
    </dxf>
    <dxf>
      <fill>
        <patternFill>
          <bgColor indexed="13"/>
        </patternFill>
      </fill>
    </dxf>
    <dxf>
      <fill>
        <patternFill>
          <bgColor indexed="10"/>
        </patternFill>
      </fill>
    </dxf>
    <dxf>
      <fill>
        <patternFill>
          <bgColor indexed="10"/>
        </patternFill>
      </fill>
    </dxf>
    <dxf>
      <fill>
        <patternFill>
          <bgColor indexed="34"/>
        </patternFill>
      </fill>
    </dxf>
    <dxf>
      <fill>
        <patternFill>
          <bgColor indexed="11"/>
        </patternFill>
      </fill>
    </dxf>
    <dxf>
      <fill>
        <patternFill>
          <bgColor indexed="10"/>
        </patternFill>
      </fill>
    </dxf>
    <dxf>
      <fill>
        <patternFill>
          <bgColor indexed="34"/>
        </patternFill>
      </fill>
    </dxf>
    <dxf>
      <fill>
        <patternFill>
          <bgColor indexed="11"/>
        </patternFill>
      </fill>
    </dxf>
    <dxf>
      <fill>
        <patternFill>
          <bgColor indexed="10"/>
        </patternFill>
      </fill>
    </dxf>
    <dxf>
      <fill>
        <patternFill>
          <bgColor indexed="34"/>
        </patternFill>
      </fill>
    </dxf>
    <dxf>
      <fill>
        <patternFill>
          <bgColor indexed="11"/>
        </patternFill>
      </fill>
    </dxf>
    <dxf>
      <fill>
        <patternFill>
          <bgColor indexed="10"/>
        </patternFill>
      </fill>
    </dxf>
    <dxf>
      <fill>
        <patternFill>
          <bgColor indexed="34"/>
        </patternFill>
      </fill>
    </dxf>
    <dxf>
      <fill>
        <patternFill>
          <bgColor indexed="11"/>
        </patternFill>
      </fill>
    </dxf>
    <dxf>
      <fill>
        <patternFill>
          <bgColor indexed="10"/>
        </patternFill>
      </fill>
    </dxf>
    <dxf>
      <fill>
        <patternFill>
          <bgColor indexed="13"/>
        </patternFill>
      </fill>
    </dxf>
    <dxf>
      <fill>
        <patternFill>
          <bgColor indexed="11"/>
        </patternFill>
      </fill>
    </dxf>
    <dxf>
      <fill>
        <patternFill>
          <bgColor indexed="10"/>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microsoft.com/office/2006/relationships/vbaProject" Target="vbaProject.bin"/><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8BD21D30-EC42-11CE-9E0D-00AA006002F3}"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978C9E23-D4B0-11CE-BF2D-00AA003F40D0}" ax:persistence="persistStreamInit" r:id="rId1"/>
</file>

<file path=xl/activeX/activeX16.xml><?xml version="1.0" encoding="utf-8"?>
<ax:ocx xmlns:ax="http://schemas.microsoft.com/office/2006/activeX" xmlns:r="http://schemas.openxmlformats.org/officeDocument/2006/relationships" ax:classid="{978C9E23-D4B0-11CE-BF2D-00AA003F40D0}" ax:persistence="persistStreamInit" r:id="rId1"/>
</file>

<file path=xl/activeX/activeX17.xml><?xml version="1.0" encoding="utf-8"?>
<ax:ocx xmlns:ax="http://schemas.microsoft.com/office/2006/activeX" xmlns:r="http://schemas.openxmlformats.org/officeDocument/2006/relationships" ax:classid="{978C9E23-D4B0-11CE-BF2D-00AA003F40D0}" ax:persistence="persistStreamInit" r:id="rId1"/>
</file>

<file path=xl/activeX/activeX18.xml><?xml version="1.0" encoding="utf-8"?>
<ax:ocx xmlns:ax="http://schemas.microsoft.com/office/2006/activeX" xmlns:r="http://schemas.openxmlformats.org/officeDocument/2006/relationships" ax:classid="{8BD21D10-EC42-11CE-9E0D-00AA006002F3}" ax:persistence="persistStreamInit" r:id="rId1"/>
</file>

<file path=xl/activeX/activeX19.xml><?xml version="1.0" encoding="utf-8"?>
<ax:ocx xmlns:ax="http://schemas.microsoft.com/office/2006/activeX" xmlns:r="http://schemas.openxmlformats.org/officeDocument/2006/relationships" ax:classid="{8BD21D10-EC42-11CE-9E0D-00AA006002F3}" ax:persistence="persistStreamInit" r:id="rId1"/>
</file>

<file path=xl/activeX/activeX20.xml><?xml version="1.0" encoding="utf-8"?>
<ax:ocx xmlns:ax="http://schemas.microsoft.com/office/2006/activeX" xmlns:r="http://schemas.openxmlformats.org/officeDocument/2006/relationships" ax:classid="{978C9E23-D4B0-11CE-BF2D-00AA003F40D0}" ax:persistence="persistStreamInit" r:id="rId1"/>
</file>

<file path=xl/activeX/activeX21.xml><?xml version="1.0" encoding="utf-8"?>
<ax:ocx xmlns:ax="http://schemas.microsoft.com/office/2006/activeX" xmlns:r="http://schemas.openxmlformats.org/officeDocument/2006/relationships" ax:classid="{978C9E23-D4B0-11CE-BF2D-00AA003F40D0}" ax:persistence="persistStreamInit" r:id="rId1"/>
</file>

<file path=xl/activeX/activeX22.xml><?xml version="1.0" encoding="utf-8"?>
<ax:ocx xmlns:ax="http://schemas.microsoft.com/office/2006/activeX" xmlns:r="http://schemas.openxmlformats.org/officeDocument/2006/relationships" ax:classid="{978C9E23-D4B0-11CE-BF2D-00AA003F40D0}" ax:persistence="persistStreamInit" r:id="rId1"/>
</file>

<file path=xl/activeX/activeX23.xml><?xml version="1.0" encoding="utf-8"?>
<ax:ocx xmlns:ax="http://schemas.microsoft.com/office/2006/activeX" xmlns:r="http://schemas.openxmlformats.org/officeDocument/2006/relationships" ax:classid="{8BD21D10-EC42-11CE-9E0D-00AA006002F3}" ax:persistence="persistStreamInit" r:id="rId1"/>
</file>

<file path=xl/activeX/activeX24.xml><?xml version="1.0" encoding="utf-8"?>
<ax:ocx xmlns:ax="http://schemas.microsoft.com/office/2006/activeX" xmlns:r="http://schemas.openxmlformats.org/officeDocument/2006/relationships" ax:classid="{8BD21D10-EC42-11CE-9E0D-00AA006002F3}" ax:persistence="persistStreamInit" r:id="rId1"/>
</file>

<file path=xl/activeX/activeX25.xml><?xml version="1.0" encoding="utf-8"?>
<ax:ocx xmlns:ax="http://schemas.microsoft.com/office/2006/activeX" xmlns:r="http://schemas.openxmlformats.org/officeDocument/2006/relationships" ax:classid="{8BD21D10-EC42-11CE-9E0D-00AA006002F3}" ax:persistence="persistStreamInit" r:id="rId1"/>
</file>

<file path=xl/activeX/activeX26.xml><?xml version="1.0" encoding="utf-8"?>
<ax:ocx xmlns:ax="http://schemas.microsoft.com/office/2006/activeX" xmlns:r="http://schemas.openxmlformats.org/officeDocument/2006/relationships" ax:classid="{8BD21D10-EC42-11CE-9E0D-00AA006002F3}" ax:persistence="persistStreamInit" r:id="rId1"/>
</file>

<file path=xl/activeX/activeX27.xml><?xml version="1.0" encoding="utf-8"?>
<ax:ocx xmlns:ax="http://schemas.microsoft.com/office/2006/activeX" xmlns:r="http://schemas.openxmlformats.org/officeDocument/2006/relationships" ax:classid="{8BD21D10-EC42-11CE-9E0D-00AA006002F3}" ax:persistence="persistStreamInit" r:id="rId1"/>
</file>

<file path=xl/activeX/activeX28.xml><?xml version="1.0" encoding="utf-8"?>
<ax:ocx xmlns:ax="http://schemas.microsoft.com/office/2006/activeX" xmlns:r="http://schemas.openxmlformats.org/officeDocument/2006/relationships" ax:classid="{8BD21D10-EC42-11CE-9E0D-00AA006002F3}" ax:persistence="persistStreamInit" r:id="rId1"/>
</file>

<file path=xl/activeX/activeX29.xml><?xml version="1.0" encoding="utf-8"?>
<ax:ocx xmlns:ax="http://schemas.microsoft.com/office/2006/activeX" xmlns:r="http://schemas.openxmlformats.org/officeDocument/2006/relationships" ax:classid="{8BD21D10-EC42-11CE-9E0D-00AA006002F3}" ax:persistence="persistStreamInit" r:id="rId1"/>
</file>

<file path=xl/activeX/activeX30.xml><?xml version="1.0" encoding="utf-8"?>
<ax:ocx xmlns:ax="http://schemas.microsoft.com/office/2006/activeX" xmlns:r="http://schemas.openxmlformats.org/officeDocument/2006/relationships" ax:classid="{8BD21D10-EC42-11CE-9E0D-00AA006002F3}" ax:persistence="persistStreamInit" r:id="rId1"/>
</file>

<file path=xl/activeX/activeX31.xml><?xml version="1.0" encoding="utf-8"?>
<ax:ocx xmlns:ax="http://schemas.microsoft.com/office/2006/activeX" xmlns:r="http://schemas.openxmlformats.org/officeDocument/2006/relationships" ax:classid="{8BD21D10-EC42-11CE-9E0D-00AA006002F3}" ax:persistence="persistStreamInit" r:id="rId1"/>
</file>

<file path=xl/activeX/activeX32.xml><?xml version="1.0" encoding="utf-8"?>
<ax:ocx xmlns:ax="http://schemas.microsoft.com/office/2006/activeX" xmlns:r="http://schemas.openxmlformats.org/officeDocument/2006/relationships" ax:classid="{8BD21D10-EC42-11CE-9E0D-00AA006002F3}" ax:persistence="persistStreamInit" r:id="rId1"/>
</file>

<file path=xl/activeX/activeX33.xml><?xml version="1.0" encoding="utf-8"?>
<ax:ocx xmlns:ax="http://schemas.microsoft.com/office/2006/activeX" xmlns:r="http://schemas.openxmlformats.org/officeDocument/2006/relationships" ax:classid="{8BD21D10-EC42-11CE-9E0D-00AA006002F3}" ax:persistence="persistStreamInit" r:id="rId1"/>
</file>

<file path=xl/activeX/activeX34.xml><?xml version="1.0" encoding="utf-8"?>
<ax:ocx xmlns:ax="http://schemas.microsoft.com/office/2006/activeX" xmlns:r="http://schemas.openxmlformats.org/officeDocument/2006/relationships" ax:classid="{8BD21D10-EC42-11CE-9E0D-00AA006002F3}" ax:persistence="persistStreamInit" r:id="rId1"/>
</file>

<file path=xl/activeX/activeX35.xml><?xml version="1.0" encoding="utf-8"?>
<ax:ocx xmlns:ax="http://schemas.microsoft.com/office/2006/activeX" xmlns:r="http://schemas.openxmlformats.org/officeDocument/2006/relationships" ax:classid="{8BD21D10-EC42-11CE-9E0D-00AA006002F3}"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8BD21D40-EC42-11CE-9E0D-00AA006002F3}" ax:persistence="persistStreamInit" r:id="rId1"/>
</file>

<file path=xl/activeX/activeX39.xml><?xml version="1.0" encoding="utf-8"?>
<ax:ocx xmlns:ax="http://schemas.microsoft.com/office/2006/activeX" xmlns:r="http://schemas.openxmlformats.org/officeDocument/2006/relationships" ax:classid="{8BD21D40-EC42-11CE-9E0D-00AA006002F3}"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ctrlProps/ctrlProp1.xml><?xml version="1.0" encoding="utf-8"?>
<formControlPr xmlns="http://schemas.microsoft.com/office/spreadsheetml/2009/9/main" objectType="List" dx="22" fmlaLink="$A$7" fmlaRange="'Calculations (Toxic Load)'!$S$2:$S$12" noThreeD="1" sel="1" val="0"/>
</file>

<file path=xl/ctrlProps/ctrlProp2.xml><?xml version="1.0" encoding="utf-8"?>
<formControlPr xmlns="http://schemas.microsoft.com/office/spreadsheetml/2009/9/main" objectType="CheckBox" checked="Checked" fmlaLink="$B$7" lockText="1" noThreeD="1"/>
</file>

<file path=xl/ctrlProps/ctrlProp3.xml><?xml version="1.0" encoding="utf-8"?>
<formControlPr xmlns="http://schemas.microsoft.com/office/spreadsheetml/2009/9/main" objectType="CheckBox" checked="Checked" fmlaLink="$C$7" lockText="1" noThreeD="1"/>
</file>

<file path=xl/ctrlProps/ctrlProp4.xml><?xml version="1.0" encoding="utf-8"?>
<formControlPr xmlns="http://schemas.microsoft.com/office/spreadsheetml/2009/9/main" objectType="List" dx="22" fmlaLink="$A$8" fmlaRange="'Calculations (Toxic Load)'!$V$3:$V$42" noThreeD="1" sel="1" val="0"/>
</file>

<file path=xl/ctrlProps/ctrlProp5.xml><?xml version="1.0" encoding="utf-8"?>
<formControlPr xmlns="http://schemas.microsoft.com/office/spreadsheetml/2009/9/main" objectType="List" dx="22" fmlaLink="A50" fmlaRange="$B$69:$B$74" noThreeD="1" sel="1" val="0"/>
</file>

<file path=xl/ctrlProps/ctrlProp6.xml><?xml version="1.0" encoding="utf-8"?>
<formControlPr xmlns="http://schemas.microsoft.com/office/spreadsheetml/2009/9/main" objectType="List" dx="22" fmlaLink="A$53" fmlaRange="$B$78:$B$85" noThreeD="1" sel="1" val="0"/>
</file>

<file path=xl/ctrlProps/ctrlProp7.xml><?xml version="1.0" encoding="utf-8"?>
<formControlPr xmlns="http://schemas.microsoft.com/office/spreadsheetml/2009/9/main" objectType="List" dx="22" fmlaLink="$A$7" fmlaRange="'Calculations (Toxic Load)'!$R$2:$R$14" noThreeD="1" sel="5" val="2"/>
</file>

<file path=xl/ctrlProps/ctrlProp8.xml><?xml version="1.0" encoding="utf-8"?>
<formControlPr xmlns="http://schemas.microsoft.com/office/spreadsheetml/2009/9/main" objectType="CheckBox" fmlaLink="$B$7" lockText="1" noThreeD="1"/>
</file>

<file path=xl/ctrlProps/ctrlProp9.xml><?xml version="1.0" encoding="utf-8"?>
<formControlPr xmlns="http://schemas.microsoft.com/office/spreadsheetml/2009/9/main" objectType="Radio" firstButton="1" fmlaLink="$E$7"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checked="Checked" lockText="1" noThreeD="1"/>
</file>

<file path=xl/ctrlProps/ctrlProp1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4.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8.emf"/><Relationship Id="rId1" Type="http://schemas.openxmlformats.org/officeDocument/2006/relationships/image" Target="../media/image9.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11.emf"/></Relationships>
</file>

<file path=xl/drawings/_rels/vmlDrawing4.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3.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6.vml.rels><?xml version="1.0" encoding="UTF-8" standalone="yes"?>
<Relationships xmlns="http://schemas.openxmlformats.org/package/2006/relationships"><Relationship Id="rId8" Type="http://schemas.openxmlformats.org/officeDocument/2006/relationships/image" Target="../media/image31.emf"/><Relationship Id="rId13" Type="http://schemas.openxmlformats.org/officeDocument/2006/relationships/image" Target="../media/image26.emf"/><Relationship Id="rId18" Type="http://schemas.openxmlformats.org/officeDocument/2006/relationships/image" Target="../media/image21.emf"/><Relationship Id="rId3" Type="http://schemas.openxmlformats.org/officeDocument/2006/relationships/image" Target="../media/image36.emf"/><Relationship Id="rId21" Type="http://schemas.openxmlformats.org/officeDocument/2006/relationships/image" Target="../media/image18.emf"/><Relationship Id="rId7" Type="http://schemas.openxmlformats.org/officeDocument/2006/relationships/image" Target="../media/image32.emf"/><Relationship Id="rId12" Type="http://schemas.openxmlformats.org/officeDocument/2006/relationships/image" Target="../media/image27.emf"/><Relationship Id="rId17" Type="http://schemas.openxmlformats.org/officeDocument/2006/relationships/image" Target="../media/image22.emf"/><Relationship Id="rId2" Type="http://schemas.openxmlformats.org/officeDocument/2006/relationships/image" Target="../media/image37.emf"/><Relationship Id="rId16" Type="http://schemas.openxmlformats.org/officeDocument/2006/relationships/image" Target="../media/image23.emf"/><Relationship Id="rId20" Type="http://schemas.openxmlformats.org/officeDocument/2006/relationships/image" Target="../media/image19.emf"/><Relationship Id="rId1" Type="http://schemas.openxmlformats.org/officeDocument/2006/relationships/image" Target="../media/image38.emf"/><Relationship Id="rId6" Type="http://schemas.openxmlformats.org/officeDocument/2006/relationships/image" Target="../media/image33.emf"/><Relationship Id="rId11" Type="http://schemas.openxmlformats.org/officeDocument/2006/relationships/image" Target="../media/image28.emf"/><Relationship Id="rId24" Type="http://schemas.openxmlformats.org/officeDocument/2006/relationships/image" Target="../media/image15.emf"/><Relationship Id="rId5" Type="http://schemas.openxmlformats.org/officeDocument/2006/relationships/image" Target="../media/image34.emf"/><Relationship Id="rId15" Type="http://schemas.openxmlformats.org/officeDocument/2006/relationships/image" Target="../media/image24.emf"/><Relationship Id="rId23" Type="http://schemas.openxmlformats.org/officeDocument/2006/relationships/image" Target="../media/image16.emf"/><Relationship Id="rId10" Type="http://schemas.openxmlformats.org/officeDocument/2006/relationships/image" Target="../media/image29.emf"/><Relationship Id="rId19" Type="http://schemas.openxmlformats.org/officeDocument/2006/relationships/image" Target="../media/image20.emf"/><Relationship Id="rId4" Type="http://schemas.openxmlformats.org/officeDocument/2006/relationships/image" Target="../media/image35.emf"/><Relationship Id="rId9" Type="http://schemas.openxmlformats.org/officeDocument/2006/relationships/image" Target="../media/image30.emf"/><Relationship Id="rId14" Type="http://schemas.openxmlformats.org/officeDocument/2006/relationships/image" Target="../media/image25.emf"/><Relationship Id="rId22" Type="http://schemas.openxmlformats.org/officeDocument/2006/relationships/image" Target="../media/image17.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40.emf"/><Relationship Id="rId2" Type="http://schemas.openxmlformats.org/officeDocument/2006/relationships/image" Target="../media/image41.emf"/><Relationship Id="rId1" Type="http://schemas.openxmlformats.org/officeDocument/2006/relationships/image" Target="../media/image42.emf"/><Relationship Id="rId4" Type="http://schemas.openxmlformats.org/officeDocument/2006/relationships/image" Target="../media/image39.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editAs="oneCell">
    <xdr:from>
      <xdr:col>1</xdr:col>
      <xdr:colOff>485775</xdr:colOff>
      <xdr:row>1</xdr:row>
      <xdr:rowOff>123825</xdr:rowOff>
    </xdr:from>
    <xdr:to>
      <xdr:col>16</xdr:col>
      <xdr:colOff>247650</xdr:colOff>
      <xdr:row>45</xdr:row>
      <xdr:rowOff>85725</xdr:rowOff>
    </xdr:to>
    <xdr:sp macro="" textlink="">
      <xdr:nvSpPr>
        <xdr:cNvPr id="8196" name="Text Box 4"/>
        <xdr:cNvSpPr txBox="1">
          <a:spLocks noChangeArrowheads="1"/>
        </xdr:cNvSpPr>
      </xdr:nvSpPr>
      <xdr:spPr bwMode="auto">
        <a:xfrm>
          <a:off x="1095375" y="285750"/>
          <a:ext cx="8905875" cy="7086600"/>
        </a:xfrm>
        <a:prstGeom prst="rect">
          <a:avLst/>
        </a:prstGeom>
        <a:solidFill>
          <a:schemeClr val="bg1">
            <a:lumMod val="75000"/>
          </a:schemeClr>
        </a:solidFill>
        <a:ln>
          <a:noFill/>
        </a:ln>
        <a:extLst/>
      </xdr:spPr>
      <xdr:txBody>
        <a:bodyPr vertOverflow="clip" wrap="square" lIns="54864" tIns="41148" rIns="54864" bIns="0" anchor="t" upright="1"/>
        <a:lstStyle/>
        <a:p>
          <a:pPr algn="ctr" rtl="0">
            <a:defRPr sz="1000"/>
          </a:pPr>
          <a:r>
            <a:rPr lang="en-US" sz="2400" b="0" i="0" u="none" strike="noStrike" baseline="0">
              <a:solidFill>
                <a:srgbClr val="000000"/>
              </a:solidFill>
              <a:latin typeface="Arial"/>
              <a:cs typeface="Arial"/>
            </a:rPr>
            <a:t>Chemical, Biological, Radiological, and Nuclear (CBRN) Health Assessment and Risk Toolbox</a:t>
          </a:r>
        </a:p>
      </xdr:txBody>
    </xdr:sp>
    <xdr:clientData/>
  </xdr:twoCellAnchor>
  <xdr:twoCellAnchor editAs="oneCell">
    <xdr:from>
      <xdr:col>5</xdr:col>
      <xdr:colOff>495300</xdr:colOff>
      <xdr:row>8</xdr:row>
      <xdr:rowOff>76200</xdr:rowOff>
    </xdr:from>
    <xdr:to>
      <xdr:col>13</xdr:col>
      <xdr:colOff>542925</xdr:colOff>
      <xdr:row>38</xdr:row>
      <xdr:rowOff>76200</xdr:rowOff>
    </xdr:to>
    <xdr:pic>
      <xdr:nvPicPr>
        <xdr:cNvPr id="8197" name="Picture 5"/>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t="323" b="323"/>
        <a:stretch>
          <a:fillRect/>
        </a:stretch>
      </xdr:blipFill>
      <xdr:spPr bwMode="auto">
        <a:xfrm>
          <a:off x="3543300" y="1371600"/>
          <a:ext cx="4924425" cy="485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mc:AlternateContent xmlns:mc="http://schemas.openxmlformats.org/markup-compatibility/2006">
    <mc:Choice xmlns:a14="http://schemas.microsoft.com/office/drawing/2010/main" Requires="a14">
      <xdr:twoCellAnchor editAs="oneCell">
        <xdr:from>
          <xdr:col>1</xdr:col>
          <xdr:colOff>600075</xdr:colOff>
          <xdr:row>14</xdr:row>
          <xdr:rowOff>123825</xdr:rowOff>
        </xdr:from>
        <xdr:to>
          <xdr:col>4</xdr:col>
          <xdr:colOff>495300</xdr:colOff>
          <xdr:row>17</xdr:row>
          <xdr:rowOff>142875</xdr:rowOff>
        </xdr:to>
        <xdr:sp macro="" textlink="">
          <xdr:nvSpPr>
            <xdr:cNvPr id="8193" name="CWARisk" hidden="1">
              <a:extLst>
                <a:ext uri="{63B3BB69-23CF-44E3-9099-C40C66FF867C}">
                  <a14:compatExt spid="_x0000_s8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20</xdr:row>
          <xdr:rowOff>47625</xdr:rowOff>
        </xdr:from>
        <xdr:to>
          <xdr:col>4</xdr:col>
          <xdr:colOff>447675</xdr:colOff>
          <xdr:row>23</xdr:row>
          <xdr:rowOff>123825</xdr:rowOff>
        </xdr:to>
        <xdr:sp macro="" textlink="">
          <xdr:nvSpPr>
            <xdr:cNvPr id="8194" name="Radrisk" hidden="1">
              <a:extLst>
                <a:ext uri="{63B3BB69-23CF-44E3-9099-C40C66FF867C}">
                  <a14:compatExt spid="_x0000_s81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26</xdr:row>
          <xdr:rowOff>76200</xdr:rowOff>
        </xdr:from>
        <xdr:to>
          <xdr:col>4</xdr:col>
          <xdr:colOff>419100</xdr:colOff>
          <xdr:row>29</xdr:row>
          <xdr:rowOff>123825</xdr:rowOff>
        </xdr:to>
        <xdr:sp macro="" textlink="">
          <xdr:nvSpPr>
            <xdr:cNvPr id="8195" name="Biorisk" hidden="1">
              <a:extLst>
                <a:ext uri="{63B3BB69-23CF-44E3-9099-C40C66FF867C}">
                  <a14:compatExt spid="_x0000_s81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338138</xdr:colOff>
      <xdr:row>40</xdr:row>
      <xdr:rowOff>164308</xdr:rowOff>
    </xdr:from>
    <xdr:to>
      <xdr:col>11</xdr:col>
      <xdr:colOff>500062</xdr:colOff>
      <xdr:row>42</xdr:row>
      <xdr:rowOff>71438</xdr:rowOff>
    </xdr:to>
    <xdr:sp macro="" textlink="">
      <xdr:nvSpPr>
        <xdr:cNvPr id="2" name="TextBox 1"/>
        <xdr:cNvSpPr txBox="1"/>
      </xdr:nvSpPr>
      <xdr:spPr>
        <a:xfrm>
          <a:off x="4588669" y="6831808"/>
          <a:ext cx="2590799" cy="24050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Updated January 2018 by USAFSAM OEC</a:t>
          </a:r>
        </a:p>
      </xdr:txBody>
    </xdr:sp>
    <xdr:clientData/>
  </xdr:twoCellAnchor>
  <xdr:twoCellAnchor editAs="oneCell">
    <xdr:from>
      <xdr:col>6</xdr:col>
      <xdr:colOff>304800</xdr:colOff>
      <xdr:row>41</xdr:row>
      <xdr:rowOff>19050</xdr:rowOff>
    </xdr:from>
    <xdr:to>
      <xdr:col>7</xdr:col>
      <xdr:colOff>219075</xdr:colOff>
      <xdr:row>42</xdr:row>
      <xdr:rowOff>85725</xdr:rowOff>
    </xdr:to>
    <xdr:pic>
      <xdr:nvPicPr>
        <xdr:cNvPr id="8199"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62400" y="6657975"/>
          <a:ext cx="52387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590550</xdr:colOff>
      <xdr:row>41</xdr:row>
      <xdr:rowOff>9525</xdr:rowOff>
    </xdr:from>
    <xdr:to>
      <xdr:col>7</xdr:col>
      <xdr:colOff>333375</xdr:colOff>
      <xdr:row>42</xdr:row>
      <xdr:rowOff>85725</xdr:rowOff>
    </xdr:to>
    <xdr:pic>
      <xdr:nvPicPr>
        <xdr:cNvPr id="8200" name="Picture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48150" y="6648450"/>
          <a:ext cx="3524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2</xdr:row>
          <xdr:rowOff>0</xdr:rowOff>
        </xdr:from>
        <xdr:to>
          <xdr:col>0</xdr:col>
          <xdr:colOff>3638550</xdr:colOff>
          <xdr:row>5</xdr:row>
          <xdr:rowOff>495300</xdr:rowOff>
        </xdr:to>
        <xdr:sp macro="" textlink="">
          <xdr:nvSpPr>
            <xdr:cNvPr id="3073" name="List Box 1" hidden="1">
              <a:extLst>
                <a:ext uri="{63B3BB69-23CF-44E3-9099-C40C66FF867C}">
                  <a14:compatExt spid="_x0000_s30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2143125</xdr:colOff>
          <xdr:row>11</xdr:row>
          <xdr:rowOff>152400</xdr:rowOff>
        </xdr:from>
        <xdr:to>
          <xdr:col>3</xdr:col>
          <xdr:colOff>1323975</xdr:colOff>
          <xdr:row>13</xdr:row>
          <xdr:rowOff>171450</xdr:rowOff>
        </xdr:to>
        <xdr:sp macro="" textlink="">
          <xdr:nvSpPr>
            <xdr:cNvPr id="3082" name="CalcRisk" hidden="1">
              <a:extLst>
                <a:ext uri="{63B3BB69-23CF-44E3-9099-C40C66FF867C}">
                  <a14:compatExt spid="_x0000_s30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2095500</xdr:colOff>
          <xdr:row>13</xdr:row>
          <xdr:rowOff>323850</xdr:rowOff>
        </xdr:from>
        <xdr:to>
          <xdr:col>3</xdr:col>
          <xdr:colOff>1323975</xdr:colOff>
          <xdr:row>16</xdr:row>
          <xdr:rowOff>152400</xdr:rowOff>
        </xdr:to>
        <xdr:sp macro="" textlink="">
          <xdr:nvSpPr>
            <xdr:cNvPr id="3083" name="ReturnMain" hidden="1">
              <a:extLst>
                <a:ext uri="{63B3BB69-23CF-44E3-9099-C40C66FF867C}">
                  <a14:compatExt spid="_x0000_s30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676275</xdr:colOff>
          <xdr:row>4</xdr:row>
          <xdr:rowOff>95250</xdr:rowOff>
        </xdr:from>
        <xdr:to>
          <xdr:col>1</xdr:col>
          <xdr:colOff>2085975</xdr:colOff>
          <xdr:row>5</xdr:row>
          <xdr:rowOff>409575</xdr:rowOff>
        </xdr:to>
        <xdr:sp macro="" textlink="">
          <xdr:nvSpPr>
            <xdr:cNvPr id="3084" name="Check Box 12" hidden="1">
              <a:extLst>
                <a:ext uri="{63B3BB69-23CF-44E3-9099-C40C66FF867C}">
                  <a14:compatExt spid="_x0000_s30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Check for Degrees F</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4</xdr:row>
          <xdr:rowOff>76200</xdr:rowOff>
        </xdr:from>
        <xdr:to>
          <xdr:col>2</xdr:col>
          <xdr:colOff>1952625</xdr:colOff>
          <xdr:row>5</xdr:row>
          <xdr:rowOff>390525</xdr:rowOff>
        </xdr:to>
        <xdr:sp macro="" textlink="">
          <xdr:nvSpPr>
            <xdr:cNvPr id="3085" name="Check Box 13" hidden="1">
              <a:extLst>
                <a:ext uri="{63B3BB69-23CF-44E3-9099-C40C66FF867C}">
                  <a14:compatExt spid="_x0000_s30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Check for ppm Units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xdr:row>
          <xdr:rowOff>9525</xdr:rowOff>
        </xdr:from>
        <xdr:to>
          <xdr:col>1</xdr:col>
          <xdr:colOff>28575</xdr:colOff>
          <xdr:row>25</xdr:row>
          <xdr:rowOff>0</xdr:rowOff>
        </xdr:to>
        <xdr:sp macro="" textlink="">
          <xdr:nvSpPr>
            <xdr:cNvPr id="3095" name="List Box 23" hidden="1">
              <a:extLst>
                <a:ext uri="{63B3BB69-23CF-44E3-9099-C40C66FF867C}">
                  <a14:compatExt spid="_x0000_s30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371475</xdr:colOff>
          <xdr:row>15</xdr:row>
          <xdr:rowOff>76200</xdr:rowOff>
        </xdr:from>
        <xdr:to>
          <xdr:col>1</xdr:col>
          <xdr:colOff>1924050</xdr:colOff>
          <xdr:row>19</xdr:row>
          <xdr:rowOff>104775</xdr:rowOff>
        </xdr:to>
        <xdr:sp macro="" textlink="">
          <xdr:nvSpPr>
            <xdr:cNvPr id="3098" name="CommandButton1" hidden="1">
              <a:extLst>
                <a:ext uri="{63B3BB69-23CF-44E3-9099-C40C66FF867C}">
                  <a14:compatExt spid="_x0000_s30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0</xdr:colOff>
      <xdr:row>0</xdr:row>
      <xdr:rowOff>0</xdr:rowOff>
    </xdr:from>
    <xdr:to>
      <xdr:col>6</xdr:col>
      <xdr:colOff>295275</xdr:colOff>
      <xdr:row>32</xdr:row>
      <xdr:rowOff>104775</xdr:rowOff>
    </xdr:to>
    <xdr:sp macro="" textlink="">
      <xdr:nvSpPr>
        <xdr:cNvPr id="3105" name="Rectangle 33"/>
        <xdr:cNvSpPr>
          <a:spLocks noChangeArrowheads="1"/>
        </xdr:cNvSpPr>
      </xdr:nvSpPr>
      <xdr:spPr bwMode="auto">
        <a:xfrm>
          <a:off x="0" y="0"/>
          <a:ext cx="12706350" cy="7019925"/>
        </a:xfrm>
        <a:prstGeom prst="rect">
          <a:avLst/>
        </a:prstGeom>
        <a:no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123825</xdr:colOff>
      <xdr:row>2</xdr:row>
      <xdr:rowOff>9525</xdr:rowOff>
    </xdr:from>
    <xdr:to>
      <xdr:col>8</xdr:col>
      <xdr:colOff>47625</xdr:colOff>
      <xdr:row>9</xdr:row>
      <xdr:rowOff>66675</xdr:rowOff>
    </xdr:to>
    <xdr:sp macro="" textlink="">
      <xdr:nvSpPr>
        <xdr:cNvPr id="9237" name="Rectangle 3"/>
        <xdr:cNvSpPr>
          <a:spLocks noChangeArrowheads="1"/>
        </xdr:cNvSpPr>
      </xdr:nvSpPr>
      <xdr:spPr bwMode="auto">
        <a:xfrm>
          <a:off x="5695950" y="457200"/>
          <a:ext cx="3514725" cy="170497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5</xdr:col>
          <xdr:colOff>0</xdr:colOff>
          <xdr:row>10</xdr:row>
          <xdr:rowOff>85725</xdr:rowOff>
        </xdr:from>
        <xdr:to>
          <xdr:col>6</xdr:col>
          <xdr:colOff>485775</xdr:colOff>
          <xdr:row>12</xdr:row>
          <xdr:rowOff>28575</xdr:rowOff>
        </xdr:to>
        <xdr:sp macro="" textlink="">
          <xdr:nvSpPr>
            <xdr:cNvPr id="9217" name="ReturnCWAEntry" hidden="1">
              <a:extLst>
                <a:ext uri="{63B3BB69-23CF-44E3-9099-C40C66FF867C}">
                  <a14:compatExt spid="_x0000_s9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xdr:col>
      <xdr:colOff>123825</xdr:colOff>
      <xdr:row>14</xdr:row>
      <xdr:rowOff>180975</xdr:rowOff>
    </xdr:from>
    <xdr:to>
      <xdr:col>8</xdr:col>
      <xdr:colOff>85725</xdr:colOff>
      <xdr:row>23</xdr:row>
      <xdr:rowOff>66675</xdr:rowOff>
    </xdr:to>
    <xdr:sp macro="" textlink="">
      <xdr:nvSpPr>
        <xdr:cNvPr id="9238" name="Rectangle 4"/>
        <xdr:cNvSpPr>
          <a:spLocks noChangeArrowheads="1"/>
        </xdr:cNvSpPr>
      </xdr:nvSpPr>
      <xdr:spPr bwMode="auto">
        <a:xfrm>
          <a:off x="5695950" y="3400425"/>
          <a:ext cx="3552825" cy="170497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0</xdr:col>
      <xdr:colOff>95250</xdr:colOff>
      <xdr:row>2</xdr:row>
      <xdr:rowOff>9525</xdr:rowOff>
    </xdr:from>
    <xdr:to>
      <xdr:col>4</xdr:col>
      <xdr:colOff>76200</xdr:colOff>
      <xdr:row>23</xdr:row>
      <xdr:rowOff>76200</xdr:rowOff>
    </xdr:to>
    <xdr:sp macro="" textlink="">
      <xdr:nvSpPr>
        <xdr:cNvPr id="9239" name="Rectangle 5"/>
        <xdr:cNvSpPr>
          <a:spLocks noChangeArrowheads="1"/>
        </xdr:cNvSpPr>
      </xdr:nvSpPr>
      <xdr:spPr bwMode="auto">
        <a:xfrm>
          <a:off x="95250" y="457200"/>
          <a:ext cx="5553075" cy="4657725"/>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6</xdr:col>
          <xdr:colOff>876300</xdr:colOff>
          <xdr:row>10</xdr:row>
          <xdr:rowOff>76200</xdr:rowOff>
        </xdr:from>
        <xdr:to>
          <xdr:col>7</xdr:col>
          <xdr:colOff>1019175</xdr:colOff>
          <xdr:row>12</xdr:row>
          <xdr:rowOff>9525</xdr:rowOff>
        </xdr:to>
        <xdr:sp macro="" textlink="">
          <xdr:nvSpPr>
            <xdr:cNvPr id="9236" name="CommandButton1" hidden="1">
              <a:extLst>
                <a:ext uri="{63B3BB69-23CF-44E3-9099-C40C66FF867C}">
                  <a14:compatExt spid="_x0000_s9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0</xdr:colOff>
      <xdr:row>0</xdr:row>
      <xdr:rowOff>0</xdr:rowOff>
    </xdr:from>
    <xdr:to>
      <xdr:col>10</xdr:col>
      <xdr:colOff>476250</xdr:colOff>
      <xdr:row>26</xdr:row>
      <xdr:rowOff>781050</xdr:rowOff>
    </xdr:to>
    <xdr:sp macro="" textlink="">
      <xdr:nvSpPr>
        <xdr:cNvPr id="9240" name="Rectangle 21"/>
        <xdr:cNvSpPr>
          <a:spLocks noChangeArrowheads="1"/>
        </xdr:cNvSpPr>
      </xdr:nvSpPr>
      <xdr:spPr bwMode="auto">
        <a:xfrm>
          <a:off x="0" y="0"/>
          <a:ext cx="9896475" cy="6305550"/>
        </a:xfrm>
        <a:prstGeom prst="rect">
          <a:avLst/>
        </a:prstGeom>
        <a:no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762000</xdr:colOff>
          <xdr:row>10</xdr:row>
          <xdr:rowOff>390525</xdr:rowOff>
        </xdr:from>
        <xdr:to>
          <xdr:col>7</xdr:col>
          <xdr:colOff>914400</xdr:colOff>
          <xdr:row>13</xdr:row>
          <xdr:rowOff>38100</xdr:rowOff>
        </xdr:to>
        <xdr:sp macro="" textlink="">
          <xdr:nvSpPr>
            <xdr:cNvPr id="10241" name="ReturnCWAEntry" hidden="1">
              <a:extLst>
                <a:ext uri="{63B3BB69-23CF-44E3-9099-C40C66FF867C}">
                  <a14:compatExt spid="_x0000_s10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xdr:col>
      <xdr:colOff>495300</xdr:colOff>
      <xdr:row>14</xdr:row>
      <xdr:rowOff>133350</xdr:rowOff>
    </xdr:from>
    <xdr:to>
      <xdr:col>8</xdr:col>
      <xdr:colOff>133350</xdr:colOff>
      <xdr:row>23</xdr:row>
      <xdr:rowOff>95250</xdr:rowOff>
    </xdr:to>
    <xdr:sp macro="" textlink="">
      <xdr:nvSpPr>
        <xdr:cNvPr id="10268" name="Rectangle 3"/>
        <xdr:cNvSpPr>
          <a:spLocks noChangeArrowheads="1"/>
        </xdr:cNvSpPr>
      </xdr:nvSpPr>
      <xdr:spPr bwMode="auto">
        <a:xfrm>
          <a:off x="5905500" y="3333750"/>
          <a:ext cx="3371850" cy="1781175"/>
        </a:xfrm>
        <a:prstGeom prst="rect">
          <a:avLst/>
        </a:prstGeom>
        <a:no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514350</xdr:colOff>
      <xdr:row>2</xdr:row>
      <xdr:rowOff>0</xdr:rowOff>
    </xdr:from>
    <xdr:to>
      <xdr:col>8</xdr:col>
      <xdr:colOff>152400</xdr:colOff>
      <xdr:row>10</xdr:row>
      <xdr:rowOff>66675</xdr:rowOff>
    </xdr:to>
    <xdr:sp macro="" textlink="">
      <xdr:nvSpPr>
        <xdr:cNvPr id="10269" name="Rectangle 4"/>
        <xdr:cNvSpPr>
          <a:spLocks noChangeArrowheads="1"/>
        </xdr:cNvSpPr>
      </xdr:nvSpPr>
      <xdr:spPr bwMode="auto">
        <a:xfrm>
          <a:off x="5924550" y="447675"/>
          <a:ext cx="3371850" cy="1847850"/>
        </a:xfrm>
        <a:prstGeom prst="rect">
          <a:avLst/>
        </a:prstGeom>
        <a:no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95250</xdr:colOff>
      <xdr:row>2</xdr:row>
      <xdr:rowOff>0</xdr:rowOff>
    </xdr:from>
    <xdr:to>
      <xdr:col>4</xdr:col>
      <xdr:colOff>133350</xdr:colOff>
      <xdr:row>23</xdr:row>
      <xdr:rowOff>95250</xdr:rowOff>
    </xdr:to>
    <xdr:sp macro="" textlink="">
      <xdr:nvSpPr>
        <xdr:cNvPr id="10270" name="Rectangle 5"/>
        <xdr:cNvSpPr>
          <a:spLocks noChangeArrowheads="1"/>
        </xdr:cNvSpPr>
      </xdr:nvSpPr>
      <xdr:spPr bwMode="auto">
        <a:xfrm>
          <a:off x="95250" y="447675"/>
          <a:ext cx="5448300" cy="4667250"/>
        </a:xfrm>
        <a:prstGeom prst="rect">
          <a:avLst/>
        </a:prstGeom>
        <a:no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mc:AlternateContent xmlns:mc="http://schemas.openxmlformats.org/markup-compatibility/2006">
    <mc:Choice xmlns:a14="http://schemas.microsoft.com/office/drawing/2010/main" Requires="a14">
      <xdr:twoCellAnchor editAs="oneCell">
        <xdr:from>
          <xdr:col>4</xdr:col>
          <xdr:colOff>571500</xdr:colOff>
          <xdr:row>10</xdr:row>
          <xdr:rowOff>390525</xdr:rowOff>
        </xdr:from>
        <xdr:to>
          <xdr:col>6</xdr:col>
          <xdr:colOff>466725</xdr:colOff>
          <xdr:row>13</xdr:row>
          <xdr:rowOff>57150</xdr:rowOff>
        </xdr:to>
        <xdr:sp macro="" textlink="">
          <xdr:nvSpPr>
            <xdr:cNvPr id="10267" name="CommandButton1" hidden="1">
              <a:extLst>
                <a:ext uri="{63B3BB69-23CF-44E3-9099-C40C66FF867C}">
                  <a14:compatExt spid="_x0000_s10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0</xdr:colOff>
      <xdr:row>0</xdr:row>
      <xdr:rowOff>0</xdr:rowOff>
    </xdr:from>
    <xdr:to>
      <xdr:col>10</xdr:col>
      <xdr:colOff>381000</xdr:colOff>
      <xdr:row>30</xdr:row>
      <xdr:rowOff>142875</xdr:rowOff>
    </xdr:to>
    <xdr:sp macro="" textlink="">
      <xdr:nvSpPr>
        <xdr:cNvPr id="10271" name="Rectangle 28"/>
        <xdr:cNvSpPr>
          <a:spLocks noChangeArrowheads="1"/>
        </xdr:cNvSpPr>
      </xdr:nvSpPr>
      <xdr:spPr bwMode="auto">
        <a:xfrm>
          <a:off x="0" y="0"/>
          <a:ext cx="9896475" cy="6305550"/>
        </a:xfrm>
        <a:prstGeom prst="rect">
          <a:avLst/>
        </a:prstGeom>
        <a:no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895350</xdr:colOff>
          <xdr:row>11</xdr:row>
          <xdr:rowOff>104775</xdr:rowOff>
        </xdr:from>
        <xdr:to>
          <xdr:col>0</xdr:col>
          <xdr:colOff>1952625</xdr:colOff>
          <xdr:row>13</xdr:row>
          <xdr:rowOff>85725</xdr:rowOff>
        </xdr:to>
        <xdr:sp macro="" textlink="">
          <xdr:nvSpPr>
            <xdr:cNvPr id="13322" name="CWAEntry" hidden="1">
              <a:extLst>
                <a:ext uri="{63B3BB69-23CF-44E3-9099-C40C66FF867C}">
                  <a14:compatExt spid="_x0000_s13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0</xdr:colOff>
      <xdr:row>0</xdr:row>
      <xdr:rowOff>0</xdr:rowOff>
    </xdr:from>
    <xdr:to>
      <xdr:col>5</xdr:col>
      <xdr:colOff>190500</xdr:colOff>
      <xdr:row>37</xdr:row>
      <xdr:rowOff>47625</xdr:rowOff>
    </xdr:to>
    <xdr:sp macro="" textlink="">
      <xdr:nvSpPr>
        <xdr:cNvPr id="13325" name="Rectangle 11"/>
        <xdr:cNvSpPr>
          <a:spLocks noChangeArrowheads="1"/>
        </xdr:cNvSpPr>
      </xdr:nvSpPr>
      <xdr:spPr bwMode="auto">
        <a:xfrm>
          <a:off x="0" y="0"/>
          <a:ext cx="9163050" cy="6305550"/>
        </a:xfrm>
        <a:prstGeom prst="rect">
          <a:avLst/>
        </a:prstGeom>
        <a:no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342900</xdr:colOff>
          <xdr:row>3</xdr:row>
          <xdr:rowOff>66675</xdr:rowOff>
        </xdr:from>
        <xdr:to>
          <xdr:col>1</xdr:col>
          <xdr:colOff>1190625</xdr:colOff>
          <xdr:row>3</xdr:row>
          <xdr:rowOff>295275</xdr:rowOff>
        </xdr:to>
        <xdr:sp macro="" textlink="">
          <xdr:nvSpPr>
            <xdr:cNvPr id="14339" name="TextBox1" hidden="1">
              <a:extLst>
                <a:ext uri="{63B3BB69-23CF-44E3-9099-C40C66FF867C}">
                  <a14:compatExt spid="_x0000_s143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342900</xdr:colOff>
          <xdr:row>5</xdr:row>
          <xdr:rowOff>200025</xdr:rowOff>
        </xdr:from>
        <xdr:to>
          <xdr:col>1</xdr:col>
          <xdr:colOff>1190625</xdr:colOff>
          <xdr:row>5</xdr:row>
          <xdr:rowOff>428625</xdr:rowOff>
        </xdr:to>
        <xdr:sp macro="" textlink="">
          <xdr:nvSpPr>
            <xdr:cNvPr id="14340" name="TextBox2" hidden="1">
              <a:extLst>
                <a:ext uri="{63B3BB69-23CF-44E3-9099-C40C66FF867C}">
                  <a14:compatExt spid="_x0000_s143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333375</xdr:colOff>
          <xdr:row>9</xdr:row>
          <xdr:rowOff>57150</xdr:rowOff>
        </xdr:from>
        <xdr:to>
          <xdr:col>1</xdr:col>
          <xdr:colOff>1181100</xdr:colOff>
          <xdr:row>9</xdr:row>
          <xdr:rowOff>285750</xdr:rowOff>
        </xdr:to>
        <xdr:sp macro="" textlink="">
          <xdr:nvSpPr>
            <xdr:cNvPr id="14341" name="TextBox3" hidden="1">
              <a:extLst>
                <a:ext uri="{63B3BB69-23CF-44E3-9099-C40C66FF867C}">
                  <a14:compatExt spid="_x0000_s143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342900</xdr:colOff>
          <xdr:row>7</xdr:row>
          <xdr:rowOff>123825</xdr:rowOff>
        </xdr:from>
        <xdr:to>
          <xdr:col>1</xdr:col>
          <xdr:colOff>1190625</xdr:colOff>
          <xdr:row>7</xdr:row>
          <xdr:rowOff>352425</xdr:rowOff>
        </xdr:to>
        <xdr:sp macro="" textlink="">
          <xdr:nvSpPr>
            <xdr:cNvPr id="14342" name="TextBox4" hidden="1">
              <a:extLst>
                <a:ext uri="{63B3BB69-23CF-44E3-9099-C40C66FF867C}">
                  <a14:compatExt spid="_x0000_s143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333375</xdr:colOff>
          <xdr:row>3</xdr:row>
          <xdr:rowOff>47625</xdr:rowOff>
        </xdr:from>
        <xdr:to>
          <xdr:col>4</xdr:col>
          <xdr:colOff>1181100</xdr:colOff>
          <xdr:row>3</xdr:row>
          <xdr:rowOff>276225</xdr:rowOff>
        </xdr:to>
        <xdr:sp macro="" textlink="">
          <xdr:nvSpPr>
            <xdr:cNvPr id="14343" name="TextBox5" hidden="1">
              <a:extLst>
                <a:ext uri="{63B3BB69-23CF-44E3-9099-C40C66FF867C}">
                  <a14:compatExt spid="_x0000_s143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333375</xdr:colOff>
          <xdr:row>5</xdr:row>
          <xdr:rowOff>209550</xdr:rowOff>
        </xdr:from>
        <xdr:to>
          <xdr:col>4</xdr:col>
          <xdr:colOff>1181100</xdr:colOff>
          <xdr:row>5</xdr:row>
          <xdr:rowOff>438150</xdr:rowOff>
        </xdr:to>
        <xdr:sp macro="" textlink="">
          <xdr:nvSpPr>
            <xdr:cNvPr id="14344" name="TextBox6" hidden="1">
              <a:extLst>
                <a:ext uri="{63B3BB69-23CF-44E3-9099-C40C66FF867C}">
                  <a14:compatExt spid="_x0000_s143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333375</xdr:colOff>
          <xdr:row>7</xdr:row>
          <xdr:rowOff>104775</xdr:rowOff>
        </xdr:from>
        <xdr:to>
          <xdr:col>4</xdr:col>
          <xdr:colOff>1181100</xdr:colOff>
          <xdr:row>7</xdr:row>
          <xdr:rowOff>333375</xdr:rowOff>
        </xdr:to>
        <xdr:sp macro="" textlink="">
          <xdr:nvSpPr>
            <xdr:cNvPr id="14345" name="TextBox7" hidden="1">
              <a:extLst>
                <a:ext uri="{63B3BB69-23CF-44E3-9099-C40C66FF867C}">
                  <a14:compatExt spid="_x0000_s143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333375</xdr:colOff>
          <xdr:row>9</xdr:row>
          <xdr:rowOff>66675</xdr:rowOff>
        </xdr:from>
        <xdr:to>
          <xdr:col>4</xdr:col>
          <xdr:colOff>1190625</xdr:colOff>
          <xdr:row>9</xdr:row>
          <xdr:rowOff>295275</xdr:rowOff>
        </xdr:to>
        <xdr:sp macro="" textlink="">
          <xdr:nvSpPr>
            <xdr:cNvPr id="14346" name="TextBox8" hidden="1">
              <a:extLst>
                <a:ext uri="{63B3BB69-23CF-44E3-9099-C40C66FF867C}">
                  <a14:compatExt spid="_x0000_s143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xdr:colOff>
          <xdr:row>12</xdr:row>
          <xdr:rowOff>142875</xdr:rowOff>
        </xdr:from>
        <xdr:to>
          <xdr:col>0</xdr:col>
          <xdr:colOff>1409700</xdr:colOff>
          <xdr:row>16</xdr:row>
          <xdr:rowOff>47625</xdr:rowOff>
        </xdr:to>
        <xdr:sp macro="" textlink="">
          <xdr:nvSpPr>
            <xdr:cNvPr id="14350" name="List Box 14" hidden="1">
              <a:extLst>
                <a:ext uri="{63B3BB69-23CF-44E3-9099-C40C66FF867C}">
                  <a14:compatExt spid="_x0000_s143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723900</xdr:colOff>
          <xdr:row>12</xdr:row>
          <xdr:rowOff>257175</xdr:rowOff>
        </xdr:from>
        <xdr:to>
          <xdr:col>2</xdr:col>
          <xdr:colOff>285750</xdr:colOff>
          <xdr:row>12</xdr:row>
          <xdr:rowOff>485775</xdr:rowOff>
        </xdr:to>
        <xdr:sp macro="" textlink="">
          <xdr:nvSpPr>
            <xdr:cNvPr id="14351" name="TextBox9" hidden="1">
              <a:extLst>
                <a:ext uri="{63B3BB69-23CF-44E3-9099-C40C66FF867C}">
                  <a14:compatExt spid="_x0000_s143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581025</xdr:colOff>
          <xdr:row>14</xdr:row>
          <xdr:rowOff>142875</xdr:rowOff>
        </xdr:from>
        <xdr:to>
          <xdr:col>3</xdr:col>
          <xdr:colOff>95250</xdr:colOff>
          <xdr:row>16</xdr:row>
          <xdr:rowOff>38100</xdr:rowOff>
        </xdr:to>
        <xdr:sp macro="" textlink="">
          <xdr:nvSpPr>
            <xdr:cNvPr id="14352" name="TextBox10" hidden="1">
              <a:extLst>
                <a:ext uri="{63B3BB69-23CF-44E3-9099-C40C66FF867C}">
                  <a14:compatExt spid="_x0000_s143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733425</xdr:colOff>
          <xdr:row>17</xdr:row>
          <xdr:rowOff>161925</xdr:rowOff>
        </xdr:from>
        <xdr:to>
          <xdr:col>2</xdr:col>
          <xdr:colOff>295275</xdr:colOff>
          <xdr:row>19</xdr:row>
          <xdr:rowOff>47625</xdr:rowOff>
        </xdr:to>
        <xdr:sp macro="" textlink="">
          <xdr:nvSpPr>
            <xdr:cNvPr id="14353" name="TextBox11" hidden="1">
              <a:extLst>
                <a:ext uri="{63B3BB69-23CF-44E3-9099-C40C66FF867C}">
                  <a14:compatExt spid="_x0000_s143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1019175</xdr:colOff>
          <xdr:row>12</xdr:row>
          <xdr:rowOff>57150</xdr:rowOff>
        </xdr:from>
        <xdr:to>
          <xdr:col>4</xdr:col>
          <xdr:colOff>1209675</xdr:colOff>
          <xdr:row>19</xdr:row>
          <xdr:rowOff>123825</xdr:rowOff>
        </xdr:to>
        <xdr:sp macro="" textlink="">
          <xdr:nvSpPr>
            <xdr:cNvPr id="14354" name="TextBox12" hidden="1">
              <a:extLst>
                <a:ext uri="{63B3BB69-23CF-44E3-9099-C40C66FF867C}">
                  <a14:compatExt spid="_x0000_s143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57150</xdr:colOff>
          <xdr:row>22</xdr:row>
          <xdr:rowOff>66675</xdr:rowOff>
        </xdr:from>
        <xdr:to>
          <xdr:col>0</xdr:col>
          <xdr:colOff>1038225</xdr:colOff>
          <xdr:row>27</xdr:row>
          <xdr:rowOff>142875</xdr:rowOff>
        </xdr:to>
        <xdr:sp macro="" textlink="">
          <xdr:nvSpPr>
            <xdr:cNvPr id="14360" name="List Box 24" hidden="1">
              <a:extLst>
                <a:ext uri="{63B3BB69-23CF-44E3-9099-C40C66FF867C}">
                  <a14:compatExt spid="_x0000_s143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1257300</xdr:colOff>
          <xdr:row>22</xdr:row>
          <xdr:rowOff>47625</xdr:rowOff>
        </xdr:from>
        <xdr:to>
          <xdr:col>3</xdr:col>
          <xdr:colOff>1104900</xdr:colOff>
          <xdr:row>23</xdr:row>
          <xdr:rowOff>95250</xdr:rowOff>
        </xdr:to>
        <xdr:sp macro="" textlink="">
          <xdr:nvSpPr>
            <xdr:cNvPr id="14361" name="TextBox13" hidden="1">
              <a:extLst>
                <a:ext uri="{63B3BB69-23CF-44E3-9099-C40C66FF867C}">
                  <a14:compatExt spid="_x0000_s143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1457325</xdr:colOff>
          <xdr:row>22</xdr:row>
          <xdr:rowOff>95250</xdr:rowOff>
        </xdr:from>
        <xdr:to>
          <xdr:col>1</xdr:col>
          <xdr:colOff>1209675</xdr:colOff>
          <xdr:row>23</xdr:row>
          <xdr:rowOff>104775</xdr:rowOff>
        </xdr:to>
        <xdr:sp macro="" textlink="">
          <xdr:nvSpPr>
            <xdr:cNvPr id="14363" name="Label1" hidden="1">
              <a:extLst>
                <a:ext uri="{63B3BB69-23CF-44E3-9099-C40C66FF867C}">
                  <a14:compatExt spid="_x0000_s143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1190625</xdr:colOff>
          <xdr:row>24</xdr:row>
          <xdr:rowOff>133350</xdr:rowOff>
        </xdr:from>
        <xdr:to>
          <xdr:col>1</xdr:col>
          <xdr:colOff>1209675</xdr:colOff>
          <xdr:row>25</xdr:row>
          <xdr:rowOff>133350</xdr:rowOff>
        </xdr:to>
        <xdr:sp macro="" textlink="">
          <xdr:nvSpPr>
            <xdr:cNvPr id="14364" name="Label2" hidden="1">
              <a:extLst>
                <a:ext uri="{63B3BB69-23CF-44E3-9099-C40C66FF867C}">
                  <a14:compatExt spid="_x0000_s143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26</xdr:row>
          <xdr:rowOff>180975</xdr:rowOff>
        </xdr:from>
        <xdr:to>
          <xdr:col>1</xdr:col>
          <xdr:colOff>1209675</xdr:colOff>
          <xdr:row>27</xdr:row>
          <xdr:rowOff>152400</xdr:rowOff>
        </xdr:to>
        <xdr:sp macro="" textlink="">
          <xdr:nvSpPr>
            <xdr:cNvPr id="14365" name="Label3" hidden="1">
              <a:extLst>
                <a:ext uri="{63B3BB69-23CF-44E3-9099-C40C66FF867C}">
                  <a14:compatExt spid="_x0000_s143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1257300</xdr:colOff>
          <xdr:row>24</xdr:row>
          <xdr:rowOff>57150</xdr:rowOff>
        </xdr:from>
        <xdr:to>
          <xdr:col>7</xdr:col>
          <xdr:colOff>66675</xdr:colOff>
          <xdr:row>25</xdr:row>
          <xdr:rowOff>171450</xdr:rowOff>
        </xdr:to>
        <xdr:sp macro="" textlink="">
          <xdr:nvSpPr>
            <xdr:cNvPr id="14366" name="TextBox14" hidden="1">
              <a:extLst>
                <a:ext uri="{63B3BB69-23CF-44E3-9099-C40C66FF867C}">
                  <a14:compatExt spid="_x0000_s143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1257300</xdr:colOff>
          <xdr:row>26</xdr:row>
          <xdr:rowOff>142875</xdr:rowOff>
        </xdr:from>
        <xdr:to>
          <xdr:col>4</xdr:col>
          <xdr:colOff>457200</xdr:colOff>
          <xdr:row>28</xdr:row>
          <xdr:rowOff>0</xdr:rowOff>
        </xdr:to>
        <xdr:sp macro="" textlink="">
          <xdr:nvSpPr>
            <xdr:cNvPr id="14367" name="TextBox15" hidden="1">
              <a:extLst>
                <a:ext uri="{63B3BB69-23CF-44E3-9099-C40C66FF867C}">
                  <a14:compatExt spid="_x0000_s143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1724025</xdr:colOff>
          <xdr:row>12</xdr:row>
          <xdr:rowOff>66675</xdr:rowOff>
        </xdr:from>
        <xdr:to>
          <xdr:col>3</xdr:col>
          <xdr:colOff>723900</xdr:colOff>
          <xdr:row>12</xdr:row>
          <xdr:rowOff>276225</xdr:rowOff>
        </xdr:to>
        <xdr:sp macro="" textlink="">
          <xdr:nvSpPr>
            <xdr:cNvPr id="14368" name="Label4" hidden="1">
              <a:extLst>
                <a:ext uri="{63B3BB69-23CF-44E3-9099-C40C66FF867C}">
                  <a14:compatExt spid="_x0000_s143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1724025</xdr:colOff>
          <xdr:row>13</xdr:row>
          <xdr:rowOff>104775</xdr:rowOff>
        </xdr:from>
        <xdr:to>
          <xdr:col>3</xdr:col>
          <xdr:colOff>723900</xdr:colOff>
          <xdr:row>14</xdr:row>
          <xdr:rowOff>152400</xdr:rowOff>
        </xdr:to>
        <xdr:sp macro="" textlink="">
          <xdr:nvSpPr>
            <xdr:cNvPr id="14369" name="Label5" hidden="1">
              <a:extLst>
                <a:ext uri="{63B3BB69-23CF-44E3-9099-C40C66FF867C}">
                  <a14:compatExt spid="_x0000_s143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1457325</xdr:colOff>
          <xdr:row>16</xdr:row>
          <xdr:rowOff>142875</xdr:rowOff>
        </xdr:from>
        <xdr:to>
          <xdr:col>3</xdr:col>
          <xdr:colOff>1000125</xdr:colOff>
          <xdr:row>18</xdr:row>
          <xdr:rowOff>9525</xdr:rowOff>
        </xdr:to>
        <xdr:sp macro="" textlink="">
          <xdr:nvSpPr>
            <xdr:cNvPr id="14370" name="Label6" hidden="1">
              <a:extLst>
                <a:ext uri="{63B3BB69-23CF-44E3-9099-C40C66FF867C}">
                  <a14:compatExt spid="_x0000_s143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676275</xdr:colOff>
          <xdr:row>2</xdr:row>
          <xdr:rowOff>114300</xdr:rowOff>
        </xdr:from>
        <xdr:to>
          <xdr:col>8</xdr:col>
          <xdr:colOff>561975</xdr:colOff>
          <xdr:row>3</xdr:row>
          <xdr:rowOff>209550</xdr:rowOff>
        </xdr:to>
        <xdr:sp macro="" textlink="">
          <xdr:nvSpPr>
            <xdr:cNvPr id="14371" name="CommandButton1" hidden="1">
              <a:extLst>
                <a:ext uri="{63B3BB69-23CF-44E3-9099-C40C66FF867C}">
                  <a14:compatExt spid="_x0000_s143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657225</xdr:colOff>
          <xdr:row>5</xdr:row>
          <xdr:rowOff>114300</xdr:rowOff>
        </xdr:from>
        <xdr:to>
          <xdr:col>8</xdr:col>
          <xdr:colOff>581025</xdr:colOff>
          <xdr:row>7</xdr:row>
          <xdr:rowOff>200025</xdr:rowOff>
        </xdr:to>
        <xdr:sp macro="" textlink="">
          <xdr:nvSpPr>
            <xdr:cNvPr id="14372" name="CommandButton2" hidden="1">
              <a:extLst>
                <a:ext uri="{63B3BB69-23CF-44E3-9099-C40C66FF867C}">
                  <a14:compatExt spid="_x0000_s143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13</xdr:row>
          <xdr:rowOff>28575</xdr:rowOff>
        </xdr:from>
        <xdr:to>
          <xdr:col>9</xdr:col>
          <xdr:colOff>695325</xdr:colOff>
          <xdr:row>14</xdr:row>
          <xdr:rowOff>142875</xdr:rowOff>
        </xdr:to>
        <xdr:sp macro="" textlink="">
          <xdr:nvSpPr>
            <xdr:cNvPr id="14373" name="ComboBox2" hidden="1">
              <a:extLst>
                <a:ext uri="{63B3BB69-23CF-44E3-9099-C40C66FF867C}">
                  <a14:compatExt spid="_x0000_s143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180975</xdr:colOff>
          <xdr:row>1</xdr:row>
          <xdr:rowOff>85725</xdr:rowOff>
        </xdr:from>
        <xdr:to>
          <xdr:col>0</xdr:col>
          <xdr:colOff>2657475</xdr:colOff>
          <xdr:row>4</xdr:row>
          <xdr:rowOff>133350</xdr:rowOff>
        </xdr:to>
        <xdr:sp macro="" textlink="">
          <xdr:nvSpPr>
            <xdr:cNvPr id="15361" name="CheckBox1" hidden="1">
              <a:extLst>
                <a:ext uri="{63B3BB69-23CF-44E3-9099-C40C66FF867C}">
                  <a14:compatExt spid="_x0000_s153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180975</xdr:colOff>
          <xdr:row>4</xdr:row>
          <xdr:rowOff>28575</xdr:rowOff>
        </xdr:from>
        <xdr:to>
          <xdr:col>0</xdr:col>
          <xdr:colOff>2657475</xdr:colOff>
          <xdr:row>7</xdr:row>
          <xdr:rowOff>76200</xdr:rowOff>
        </xdr:to>
        <xdr:sp macro="" textlink="">
          <xdr:nvSpPr>
            <xdr:cNvPr id="15362" name="CheckBox2" hidden="1">
              <a:extLst>
                <a:ext uri="{63B3BB69-23CF-44E3-9099-C40C66FF867C}">
                  <a14:compatExt spid="_x0000_s153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95250</xdr:colOff>
          <xdr:row>16</xdr:row>
          <xdr:rowOff>142875</xdr:rowOff>
        </xdr:from>
        <xdr:to>
          <xdr:col>8</xdr:col>
          <xdr:colOff>361950</xdr:colOff>
          <xdr:row>19</xdr:row>
          <xdr:rowOff>142875</xdr:rowOff>
        </xdr:to>
        <xdr:sp macro="" textlink="">
          <xdr:nvSpPr>
            <xdr:cNvPr id="15378" name="CommandButton1" hidden="1">
              <a:extLst>
                <a:ext uri="{63B3BB69-23CF-44E3-9099-C40C66FF867C}">
                  <a14:compatExt spid="_x0000_s153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95250</xdr:rowOff>
        </xdr:from>
        <xdr:to>
          <xdr:col>8</xdr:col>
          <xdr:colOff>361950</xdr:colOff>
          <xdr:row>16</xdr:row>
          <xdr:rowOff>9525</xdr:rowOff>
        </xdr:to>
        <xdr:sp macro="" textlink="">
          <xdr:nvSpPr>
            <xdr:cNvPr id="15379" name="CommandButton2" hidden="1">
              <a:extLst>
                <a:ext uri="{63B3BB69-23CF-44E3-9099-C40C66FF867C}">
                  <a14:compatExt spid="_x0000_s153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1</xdr:col>
      <xdr:colOff>19050</xdr:colOff>
      <xdr:row>49</xdr:row>
      <xdr:rowOff>19050</xdr:rowOff>
    </xdr:to>
    <xdr:pic>
      <xdr:nvPicPr>
        <xdr:cNvPr id="16402" name="Picture 1" descr="index_130_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09931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49</xdr:row>
      <xdr:rowOff>0</xdr:rowOff>
    </xdr:from>
    <xdr:to>
      <xdr:col>1</xdr:col>
      <xdr:colOff>19050</xdr:colOff>
      <xdr:row>49</xdr:row>
      <xdr:rowOff>19050</xdr:rowOff>
    </xdr:to>
    <xdr:pic>
      <xdr:nvPicPr>
        <xdr:cNvPr id="16403" name="Picture 2" descr="index_130_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09931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49</xdr:row>
      <xdr:rowOff>0</xdr:rowOff>
    </xdr:from>
    <xdr:to>
      <xdr:col>1</xdr:col>
      <xdr:colOff>19050</xdr:colOff>
      <xdr:row>49</xdr:row>
      <xdr:rowOff>19050</xdr:rowOff>
    </xdr:to>
    <xdr:pic>
      <xdr:nvPicPr>
        <xdr:cNvPr id="16404" name="Picture 3" descr="index_130_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09931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49</xdr:row>
      <xdr:rowOff>0</xdr:rowOff>
    </xdr:from>
    <xdr:to>
      <xdr:col>1</xdr:col>
      <xdr:colOff>19050</xdr:colOff>
      <xdr:row>49</xdr:row>
      <xdr:rowOff>19050</xdr:rowOff>
    </xdr:to>
    <xdr:pic>
      <xdr:nvPicPr>
        <xdr:cNvPr id="16405" name="Picture 4" descr="index_130_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0993100"/>
          <a:ext cx="19050"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9</xdr:col>
          <xdr:colOff>409575</xdr:colOff>
          <xdr:row>0</xdr:row>
          <xdr:rowOff>352425</xdr:rowOff>
        </xdr:from>
        <xdr:to>
          <xdr:col>11</xdr:col>
          <xdr:colOff>276225</xdr:colOff>
          <xdr:row>0</xdr:row>
          <xdr:rowOff>828675</xdr:rowOff>
        </xdr:to>
        <xdr:sp macro="" textlink="">
          <xdr:nvSpPr>
            <xdr:cNvPr id="16401" name="CommandButton1" hidden="1">
              <a:extLst>
                <a:ext uri="{63B3BB69-23CF-44E3-9099-C40C66FF867C}">
                  <a14:compatExt spid="_x0000_s164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200025</xdr:colOff>
      <xdr:row>0</xdr:row>
      <xdr:rowOff>57150</xdr:rowOff>
    </xdr:from>
    <xdr:to>
      <xdr:col>9</xdr:col>
      <xdr:colOff>19050</xdr:colOff>
      <xdr:row>0</xdr:row>
      <xdr:rowOff>1038225</xdr:rowOff>
    </xdr:to>
    <xdr:sp macro="" textlink="">
      <xdr:nvSpPr>
        <xdr:cNvPr id="2" name="Text Box 19"/>
        <xdr:cNvSpPr txBox="1">
          <a:spLocks noChangeArrowheads="1"/>
        </xdr:cNvSpPr>
      </xdr:nvSpPr>
      <xdr:spPr bwMode="auto">
        <a:xfrm>
          <a:off x="266700" y="57150"/>
          <a:ext cx="6762750" cy="981075"/>
        </a:xfrm>
        <a:prstGeom prst="rect">
          <a:avLst/>
        </a:prstGeom>
        <a:solidFill>
          <a:srgbClr xmlns:mc="http://schemas.openxmlformats.org/markup-compatibility/2006" xmlns:a14="http://schemas.microsoft.com/office/drawing/2010/main" val="CCFFFF" mc:Ignorable="a14" a14:legacySpreadsheetColorIndex="41"/>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lnSpc>
              <a:spcPts val="2400"/>
            </a:lnSpc>
            <a:defRPr sz="1000"/>
          </a:pPr>
          <a:r>
            <a:rPr lang="en-US" sz="2400" b="0" i="0" u="none" strike="noStrike" baseline="0">
              <a:solidFill>
                <a:srgbClr val="000000"/>
              </a:solidFill>
              <a:latin typeface="Arial"/>
              <a:cs typeface="Arial"/>
            </a:rPr>
            <a:t>Biological Health Risk Assessment Toolbox</a:t>
          </a:r>
        </a:p>
        <a:p>
          <a:pPr algn="ctr" rtl="0">
            <a:lnSpc>
              <a:spcPts val="1000"/>
            </a:lnSpc>
            <a:defRPr sz="1000"/>
          </a:pPr>
          <a:r>
            <a:rPr lang="en-US" sz="1000" b="0" i="0" u="none" strike="noStrike" baseline="0">
              <a:solidFill>
                <a:srgbClr val="000000"/>
              </a:solidFill>
              <a:latin typeface="Arial"/>
              <a:cs typeface="Arial"/>
            </a:rPr>
            <a:t>Note: The basis of the Biological Health Risk Assessment is less quantitative than for chemical or radiolgocial agents.  Communication of risk should focus on the magnitude of the effect, the likelihood of human-to-human transmission, the persistence of the agent, and the potential to incapacitate or render personnel incapable to execute required mission.</a:t>
          </a:r>
        </a:p>
      </xdr:txBody>
    </xdr: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142875</xdr:colOff>
          <xdr:row>1</xdr:row>
          <xdr:rowOff>85725</xdr:rowOff>
        </xdr:from>
        <xdr:to>
          <xdr:col>0</xdr:col>
          <xdr:colOff>1323975</xdr:colOff>
          <xdr:row>5</xdr:row>
          <xdr:rowOff>38100</xdr:rowOff>
        </xdr:to>
        <xdr:sp macro="" textlink="">
          <xdr:nvSpPr>
            <xdr:cNvPr id="6145" name="List Box 1" hidden="1">
              <a:extLst>
                <a:ext uri="{63B3BB69-23CF-44E3-9099-C40C66FF867C}">
                  <a14:compatExt spid="_x0000_s61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647700</xdr:colOff>
          <xdr:row>3</xdr:row>
          <xdr:rowOff>47625</xdr:rowOff>
        </xdr:from>
        <xdr:to>
          <xdr:col>2</xdr:col>
          <xdr:colOff>219075</xdr:colOff>
          <xdr:row>5</xdr:row>
          <xdr:rowOff>171450</xdr:rowOff>
        </xdr:to>
        <xdr:sp macro="" textlink="">
          <xdr:nvSpPr>
            <xdr:cNvPr id="6147" name="Check Box 3" hidden="1">
              <a:extLst>
                <a:ext uri="{63B3BB69-23CF-44E3-9099-C40C66FF867C}">
                  <a14:compatExt spid="_x0000_s61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Check for Degrees 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4</xdr:row>
          <xdr:rowOff>47625</xdr:rowOff>
        </xdr:from>
        <xdr:to>
          <xdr:col>3</xdr:col>
          <xdr:colOff>1028700</xdr:colOff>
          <xdr:row>5</xdr:row>
          <xdr:rowOff>104775</xdr:rowOff>
        </xdr:to>
        <xdr:sp macro="" textlink="">
          <xdr:nvSpPr>
            <xdr:cNvPr id="6148" name="Option Button 4" hidden="1">
              <a:extLst>
                <a:ext uri="{63B3BB69-23CF-44E3-9099-C40C66FF867C}">
                  <a14:compatExt spid="_x0000_s61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mg/M3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5</xdr:row>
          <xdr:rowOff>123825</xdr:rowOff>
        </xdr:from>
        <xdr:to>
          <xdr:col>3</xdr:col>
          <xdr:colOff>1095375</xdr:colOff>
          <xdr:row>5</xdr:row>
          <xdr:rowOff>342900</xdr:rowOff>
        </xdr:to>
        <xdr:sp macro="" textlink="">
          <xdr:nvSpPr>
            <xdr:cNvPr id="6149" name="Option Button 5" hidden="1">
              <a:extLst>
                <a:ext uri="{63B3BB69-23CF-44E3-9099-C40C66FF867C}">
                  <a14:compatExt spid="_x0000_s61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PPM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742950</xdr:colOff>
          <xdr:row>4</xdr:row>
          <xdr:rowOff>47625</xdr:rowOff>
        </xdr:from>
        <xdr:to>
          <xdr:col>3</xdr:col>
          <xdr:colOff>1619250</xdr:colOff>
          <xdr:row>5</xdr:row>
          <xdr:rowOff>104775</xdr:rowOff>
        </xdr:to>
        <xdr:sp macro="" textlink="">
          <xdr:nvSpPr>
            <xdr:cNvPr id="6150" name="Option Button 6" hidden="1">
              <a:extLst>
                <a:ext uri="{63B3BB69-23CF-44E3-9099-C40C66FF867C}">
                  <a14:compatExt spid="_x0000_s61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PPB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752475</xdr:colOff>
          <xdr:row>5</xdr:row>
          <xdr:rowOff>114300</xdr:rowOff>
        </xdr:from>
        <xdr:to>
          <xdr:col>3</xdr:col>
          <xdr:colOff>1276350</xdr:colOff>
          <xdr:row>5</xdr:row>
          <xdr:rowOff>333375</xdr:rowOff>
        </xdr:to>
        <xdr:sp macro="" textlink="">
          <xdr:nvSpPr>
            <xdr:cNvPr id="6151" name="Option Button 7" hidden="1">
              <a:extLst>
                <a:ext uri="{63B3BB69-23CF-44E3-9099-C40C66FF867C}">
                  <a14:compatExt spid="_x0000_s61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PPT</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no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909E8E84-426E-40DD-AFC4-6F175D3DCCD1}">
            <a14:hiddenFill xmlns:a14="http://schemas.microsoft.com/office/drawing/2010/main">
              <a:solidFill>
                <a:srgbClr xmlns:mc="http://schemas.openxmlformats.org/markup-compatibility/2006" val="090000"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909E8E84-426E-40DD-AFC4-6F175D3DCCD1}">
            <a14:hiddenFill xmlns:a14="http://schemas.microsoft.com/office/drawing/2010/main">
              <a:solidFill>
                <a:srgbClr xmlns:mc="http://schemas.openxmlformats.org/markup-compatibility/2006" val="090000" mc:Ignorable="a14" a14:legacySpreadsheetColorIndex="9"/>
              </a:solidFill>
            </a14:hiddenFill>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 Id="rId9" Type="http://schemas.openxmlformats.org/officeDocument/2006/relationships/image" Target="../media/image3.emf"/></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6.xml"/><Relationship Id="rId13" Type="http://schemas.openxmlformats.org/officeDocument/2006/relationships/ctrlProp" Target="../ctrlProps/ctrlProp4.xml"/><Relationship Id="rId3" Type="http://schemas.openxmlformats.org/officeDocument/2006/relationships/vmlDrawing" Target="../drawings/vmlDrawing2.vml"/><Relationship Id="rId7" Type="http://schemas.openxmlformats.org/officeDocument/2006/relationships/image" Target="../media/image8.emf"/><Relationship Id="rId12" Type="http://schemas.openxmlformats.org/officeDocument/2006/relationships/ctrlProp" Target="../ctrlProps/ctrlProp3.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ontrol" Target="../activeX/activeX5.xml"/><Relationship Id="rId11" Type="http://schemas.openxmlformats.org/officeDocument/2006/relationships/ctrlProp" Target="../ctrlProps/ctrlProp2.xml"/><Relationship Id="rId5" Type="http://schemas.openxmlformats.org/officeDocument/2006/relationships/image" Target="../media/image7.emf"/><Relationship Id="rId10" Type="http://schemas.openxmlformats.org/officeDocument/2006/relationships/ctrlProp" Target="../ctrlProps/ctrlProp1.xml"/><Relationship Id="rId4" Type="http://schemas.openxmlformats.org/officeDocument/2006/relationships/control" Target="../activeX/activeX4.xml"/><Relationship Id="rId9" Type="http://schemas.openxmlformats.org/officeDocument/2006/relationships/image" Target="../media/image9.emf"/><Relationship Id="rId1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3.vml"/><Relationship Id="rId7" Type="http://schemas.openxmlformats.org/officeDocument/2006/relationships/image" Target="../media/image11.emf"/><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ontrol" Target="../activeX/activeX8.xml"/><Relationship Id="rId5" Type="http://schemas.openxmlformats.org/officeDocument/2006/relationships/image" Target="../media/image10.emf"/><Relationship Id="rId4" Type="http://schemas.openxmlformats.org/officeDocument/2006/relationships/control" Target="../activeX/activeX7.xml"/></Relationships>
</file>

<file path=xl/worksheets/_rels/sheet5.xml.rels><?xml version="1.0" encoding="UTF-8" standalone="yes"?>
<Relationships xmlns="http://schemas.openxmlformats.org/package/2006/relationships"><Relationship Id="rId3" Type="http://schemas.openxmlformats.org/officeDocument/2006/relationships/control" Target="../activeX/activeX9.xml"/><Relationship Id="rId7"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drawing" Target="../drawings/drawing4.xml"/><Relationship Id="rId6" Type="http://schemas.openxmlformats.org/officeDocument/2006/relationships/image" Target="../media/image13.emf"/><Relationship Id="rId5" Type="http://schemas.openxmlformats.org/officeDocument/2006/relationships/control" Target="../activeX/activeX10.xml"/><Relationship Id="rId4" Type="http://schemas.openxmlformats.org/officeDocument/2006/relationships/image" Target="../media/image12.emf"/></Relationships>
</file>

<file path=xl/worksheets/_rels/sheet6.xml.rels><?xml version="1.0" encoding="UTF-8" standalone="yes"?>
<Relationships xmlns="http://schemas.openxmlformats.org/package/2006/relationships"><Relationship Id="rId3" Type="http://schemas.openxmlformats.org/officeDocument/2006/relationships/control" Target="../activeX/activeX11.xml"/><Relationship Id="rId2" Type="http://schemas.openxmlformats.org/officeDocument/2006/relationships/vmlDrawing" Target="../drawings/vmlDrawing5.vml"/><Relationship Id="rId1" Type="http://schemas.openxmlformats.org/officeDocument/2006/relationships/drawing" Target="../drawings/drawing5.xml"/><Relationship Id="rId5" Type="http://schemas.openxmlformats.org/officeDocument/2006/relationships/comments" Target="../comments4.xml"/><Relationship Id="rId4" Type="http://schemas.openxmlformats.org/officeDocument/2006/relationships/image" Target="../media/image14.emf"/></Relationships>
</file>

<file path=xl/worksheets/_rels/sheet7.x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control" Target="../activeX/activeX19.xml"/><Relationship Id="rId26" Type="http://schemas.openxmlformats.org/officeDocument/2006/relationships/control" Target="../activeX/activeX23.xml"/><Relationship Id="rId39" Type="http://schemas.openxmlformats.org/officeDocument/2006/relationships/image" Target="../media/image32.emf"/><Relationship Id="rId3" Type="http://schemas.openxmlformats.org/officeDocument/2006/relationships/vmlDrawing" Target="../drawings/vmlDrawing6.vml"/><Relationship Id="rId21" Type="http://schemas.openxmlformats.org/officeDocument/2006/relationships/image" Target="../media/image23.emf"/><Relationship Id="rId34" Type="http://schemas.openxmlformats.org/officeDocument/2006/relationships/control" Target="../activeX/activeX27.xml"/><Relationship Id="rId42" Type="http://schemas.openxmlformats.org/officeDocument/2006/relationships/control" Target="../activeX/activeX31.xml"/><Relationship Id="rId47" Type="http://schemas.openxmlformats.org/officeDocument/2006/relationships/image" Target="../media/image36.emf"/><Relationship Id="rId50" Type="http://schemas.openxmlformats.org/officeDocument/2006/relationships/control" Target="../activeX/activeX35.xml"/><Relationship Id="rId7" Type="http://schemas.openxmlformats.org/officeDocument/2006/relationships/image" Target="../media/image16.emf"/><Relationship Id="rId12" Type="http://schemas.openxmlformats.org/officeDocument/2006/relationships/control" Target="../activeX/activeX16.xml"/><Relationship Id="rId17" Type="http://schemas.openxmlformats.org/officeDocument/2006/relationships/image" Target="../media/image21.emf"/><Relationship Id="rId25" Type="http://schemas.openxmlformats.org/officeDocument/2006/relationships/image" Target="../media/image25.emf"/><Relationship Id="rId33" Type="http://schemas.openxmlformats.org/officeDocument/2006/relationships/image" Target="../media/image29.emf"/><Relationship Id="rId38" Type="http://schemas.openxmlformats.org/officeDocument/2006/relationships/control" Target="../activeX/activeX29.xml"/><Relationship Id="rId46" Type="http://schemas.openxmlformats.org/officeDocument/2006/relationships/control" Target="../activeX/activeX33.xml"/><Relationship Id="rId2" Type="http://schemas.openxmlformats.org/officeDocument/2006/relationships/drawing" Target="../drawings/drawing6.xml"/><Relationship Id="rId16" Type="http://schemas.openxmlformats.org/officeDocument/2006/relationships/control" Target="../activeX/activeX18.xml"/><Relationship Id="rId20" Type="http://schemas.openxmlformats.org/officeDocument/2006/relationships/control" Target="../activeX/activeX20.xml"/><Relationship Id="rId29" Type="http://schemas.openxmlformats.org/officeDocument/2006/relationships/image" Target="../media/image27.emf"/><Relationship Id="rId41" Type="http://schemas.openxmlformats.org/officeDocument/2006/relationships/image" Target="../media/image33.emf"/><Relationship Id="rId54" Type="http://schemas.openxmlformats.org/officeDocument/2006/relationships/comments" Target="../comments5.xml"/><Relationship Id="rId1" Type="http://schemas.openxmlformats.org/officeDocument/2006/relationships/printerSettings" Target="../printerSettings/printerSettings5.bin"/><Relationship Id="rId6" Type="http://schemas.openxmlformats.org/officeDocument/2006/relationships/control" Target="../activeX/activeX13.xml"/><Relationship Id="rId11" Type="http://schemas.openxmlformats.org/officeDocument/2006/relationships/image" Target="../media/image18.emf"/><Relationship Id="rId24" Type="http://schemas.openxmlformats.org/officeDocument/2006/relationships/control" Target="../activeX/activeX22.xml"/><Relationship Id="rId32" Type="http://schemas.openxmlformats.org/officeDocument/2006/relationships/control" Target="../activeX/activeX26.xml"/><Relationship Id="rId37" Type="http://schemas.openxmlformats.org/officeDocument/2006/relationships/image" Target="../media/image31.emf"/><Relationship Id="rId40" Type="http://schemas.openxmlformats.org/officeDocument/2006/relationships/control" Target="../activeX/activeX30.xml"/><Relationship Id="rId45" Type="http://schemas.openxmlformats.org/officeDocument/2006/relationships/image" Target="../media/image35.emf"/><Relationship Id="rId53" Type="http://schemas.openxmlformats.org/officeDocument/2006/relationships/ctrlProp" Target="../ctrlProps/ctrlProp6.xml"/><Relationship Id="rId5" Type="http://schemas.openxmlformats.org/officeDocument/2006/relationships/image" Target="../media/image15.emf"/><Relationship Id="rId15" Type="http://schemas.openxmlformats.org/officeDocument/2006/relationships/image" Target="../media/image20.emf"/><Relationship Id="rId23" Type="http://schemas.openxmlformats.org/officeDocument/2006/relationships/image" Target="../media/image24.emf"/><Relationship Id="rId28" Type="http://schemas.openxmlformats.org/officeDocument/2006/relationships/control" Target="../activeX/activeX24.xml"/><Relationship Id="rId36" Type="http://schemas.openxmlformats.org/officeDocument/2006/relationships/control" Target="../activeX/activeX28.xml"/><Relationship Id="rId49" Type="http://schemas.openxmlformats.org/officeDocument/2006/relationships/image" Target="../media/image37.emf"/><Relationship Id="rId10" Type="http://schemas.openxmlformats.org/officeDocument/2006/relationships/control" Target="../activeX/activeX15.xml"/><Relationship Id="rId19" Type="http://schemas.openxmlformats.org/officeDocument/2006/relationships/image" Target="../media/image22.emf"/><Relationship Id="rId31" Type="http://schemas.openxmlformats.org/officeDocument/2006/relationships/image" Target="../media/image28.emf"/><Relationship Id="rId44" Type="http://schemas.openxmlformats.org/officeDocument/2006/relationships/control" Target="../activeX/activeX32.xml"/><Relationship Id="rId52" Type="http://schemas.openxmlformats.org/officeDocument/2006/relationships/ctrlProp" Target="../ctrlProps/ctrlProp5.xml"/><Relationship Id="rId4" Type="http://schemas.openxmlformats.org/officeDocument/2006/relationships/control" Target="../activeX/activeX12.xml"/><Relationship Id="rId9" Type="http://schemas.openxmlformats.org/officeDocument/2006/relationships/image" Target="../media/image17.emf"/><Relationship Id="rId14" Type="http://schemas.openxmlformats.org/officeDocument/2006/relationships/control" Target="../activeX/activeX17.xml"/><Relationship Id="rId22" Type="http://schemas.openxmlformats.org/officeDocument/2006/relationships/control" Target="../activeX/activeX21.xml"/><Relationship Id="rId27" Type="http://schemas.openxmlformats.org/officeDocument/2006/relationships/image" Target="../media/image26.emf"/><Relationship Id="rId30" Type="http://schemas.openxmlformats.org/officeDocument/2006/relationships/control" Target="../activeX/activeX25.xml"/><Relationship Id="rId35" Type="http://schemas.openxmlformats.org/officeDocument/2006/relationships/image" Target="../media/image30.emf"/><Relationship Id="rId43" Type="http://schemas.openxmlformats.org/officeDocument/2006/relationships/image" Target="../media/image34.emf"/><Relationship Id="rId48" Type="http://schemas.openxmlformats.org/officeDocument/2006/relationships/control" Target="../activeX/activeX34.xml"/><Relationship Id="rId8" Type="http://schemas.openxmlformats.org/officeDocument/2006/relationships/control" Target="../activeX/activeX14.xml"/><Relationship Id="rId51" Type="http://schemas.openxmlformats.org/officeDocument/2006/relationships/image" Target="../media/image38.emf"/></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38.xml"/><Relationship Id="rId3" Type="http://schemas.openxmlformats.org/officeDocument/2006/relationships/vmlDrawing" Target="../drawings/vmlDrawing7.vml"/><Relationship Id="rId7" Type="http://schemas.openxmlformats.org/officeDocument/2006/relationships/image" Target="../media/image40.emf"/><Relationship Id="rId12" Type="http://schemas.openxmlformats.org/officeDocument/2006/relationships/comments" Target="../comments6.xml"/><Relationship Id="rId2" Type="http://schemas.openxmlformats.org/officeDocument/2006/relationships/drawing" Target="../drawings/drawing7.xml"/><Relationship Id="rId1" Type="http://schemas.openxmlformats.org/officeDocument/2006/relationships/printerSettings" Target="../printerSettings/printerSettings6.bin"/><Relationship Id="rId6" Type="http://schemas.openxmlformats.org/officeDocument/2006/relationships/control" Target="../activeX/activeX37.xml"/><Relationship Id="rId11" Type="http://schemas.openxmlformats.org/officeDocument/2006/relationships/image" Target="../media/image42.emf"/><Relationship Id="rId5" Type="http://schemas.openxmlformats.org/officeDocument/2006/relationships/image" Target="../media/image39.emf"/><Relationship Id="rId10" Type="http://schemas.openxmlformats.org/officeDocument/2006/relationships/control" Target="../activeX/activeX39.xml"/><Relationship Id="rId4" Type="http://schemas.openxmlformats.org/officeDocument/2006/relationships/control" Target="../activeX/activeX36.xml"/><Relationship Id="rId9" Type="http://schemas.openxmlformats.org/officeDocument/2006/relationships/image" Target="../media/image41.emf"/></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7.bin"/><Relationship Id="rId5" Type="http://schemas.openxmlformats.org/officeDocument/2006/relationships/image" Target="../media/image43.emf"/><Relationship Id="rId4" Type="http://schemas.openxmlformats.org/officeDocument/2006/relationships/control" Target="../activeX/activeX40.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9.vml"/><Relationship Id="rId7" Type="http://schemas.openxmlformats.org/officeDocument/2006/relationships/ctrlProp" Target="../ctrlProps/ctrlProp10.xml"/><Relationship Id="rId2" Type="http://schemas.openxmlformats.org/officeDocument/2006/relationships/drawing" Target="../drawings/drawing9.xml"/><Relationship Id="rId1" Type="http://schemas.openxmlformats.org/officeDocument/2006/relationships/printerSettings" Target="../printerSettings/printerSettings10.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3:V203"/>
  <sheetViews>
    <sheetView workbookViewId="0">
      <selection activeCell="A12" sqref="A12"/>
    </sheetView>
  </sheetViews>
  <sheetFormatPr defaultRowHeight="12.75" x14ac:dyDescent="0.2"/>
  <cols>
    <col min="1" max="1" width="10" customWidth="1"/>
    <col min="2" max="6" width="19.7109375" customWidth="1"/>
    <col min="7" max="7" width="41.7109375" customWidth="1"/>
    <col min="8" max="8" width="16.28515625" customWidth="1"/>
  </cols>
  <sheetData>
    <row r="3" spans="1:8" ht="18" x14ac:dyDescent="0.25">
      <c r="A3" s="1" t="s">
        <v>1</v>
      </c>
      <c r="B3" s="1"/>
      <c r="C3" s="1"/>
      <c r="D3" s="1"/>
      <c r="E3" s="1"/>
      <c r="F3" s="1"/>
      <c r="G3" s="1"/>
    </row>
    <row r="4" spans="1:8" ht="21" x14ac:dyDescent="0.25">
      <c r="A4" s="1"/>
      <c r="B4" s="1" t="s">
        <v>2</v>
      </c>
      <c r="C4" s="1"/>
      <c r="D4" s="1"/>
      <c r="E4" s="1"/>
      <c r="F4" s="1"/>
      <c r="G4" s="1" t="s">
        <v>173</v>
      </c>
    </row>
    <row r="5" spans="1:8" ht="18" x14ac:dyDescent="0.25">
      <c r="A5" s="1" t="s">
        <v>4</v>
      </c>
      <c r="B5" s="1"/>
      <c r="C5" s="1"/>
      <c r="D5" s="1"/>
      <c r="E5" s="1"/>
      <c r="F5" s="1"/>
      <c r="G5" s="1"/>
    </row>
    <row r="6" spans="1:8" ht="18" x14ac:dyDescent="0.25">
      <c r="A6" s="1" t="s">
        <v>0</v>
      </c>
      <c r="B6" s="1"/>
      <c r="C6" s="1"/>
      <c r="D6" s="1"/>
      <c r="E6" s="1"/>
      <c r="F6" s="1"/>
      <c r="G6" s="1"/>
    </row>
    <row r="7" spans="1:8" ht="18" x14ac:dyDescent="0.25">
      <c r="A7" s="1"/>
      <c r="B7" s="1" t="s">
        <v>5</v>
      </c>
      <c r="C7" s="1"/>
      <c r="D7" s="1"/>
      <c r="E7" s="1"/>
      <c r="F7" s="1"/>
      <c r="G7" s="1"/>
    </row>
    <row r="8" spans="1:8" ht="18" x14ac:dyDescent="0.25">
      <c r="A8" s="1"/>
      <c r="B8" s="1" t="s">
        <v>6</v>
      </c>
      <c r="C8" s="1"/>
      <c r="D8" s="1"/>
      <c r="E8" s="1"/>
      <c r="F8" s="1"/>
      <c r="G8" s="1"/>
    </row>
    <row r="9" spans="1:8" ht="18" x14ac:dyDescent="0.25">
      <c r="A9" s="1"/>
      <c r="B9" s="1"/>
      <c r="C9" s="1"/>
      <c r="D9" s="1"/>
      <c r="E9" s="1"/>
      <c r="F9" s="1"/>
      <c r="G9" s="1"/>
    </row>
    <row r="11" spans="1:8" ht="18" x14ac:dyDescent="0.25">
      <c r="A11" s="1" t="s">
        <v>24</v>
      </c>
    </row>
    <row r="12" spans="1:8" ht="18" x14ac:dyDescent="0.25">
      <c r="A12" s="2" t="s">
        <v>8</v>
      </c>
      <c r="B12" s="1"/>
      <c r="C12" s="1"/>
      <c r="D12" s="1"/>
      <c r="E12" s="1"/>
      <c r="F12" s="1"/>
      <c r="G12" s="1"/>
      <c r="H12" s="1"/>
    </row>
    <row r="13" spans="1:8" ht="18" x14ac:dyDescent="0.25">
      <c r="A13" s="1"/>
      <c r="B13" s="1" t="s">
        <v>1</v>
      </c>
      <c r="C13" s="1"/>
      <c r="D13" s="1"/>
      <c r="E13" s="1"/>
      <c r="F13" s="1"/>
      <c r="G13" s="1"/>
      <c r="H13" s="1"/>
    </row>
    <row r="14" spans="1:8" ht="21" x14ac:dyDescent="0.25">
      <c r="A14" s="1"/>
      <c r="B14" s="1" t="s">
        <v>2</v>
      </c>
      <c r="C14" s="1"/>
      <c r="D14" s="1"/>
      <c r="E14" s="1"/>
      <c r="F14" s="1"/>
      <c r="G14" s="1" t="s">
        <v>173</v>
      </c>
    </row>
    <row r="15" spans="1:8" ht="21" x14ac:dyDescent="0.25">
      <c r="A15" s="1"/>
      <c r="B15" s="1" t="s">
        <v>9</v>
      </c>
      <c r="C15" s="1"/>
      <c r="D15" s="1"/>
      <c r="E15" s="1"/>
      <c r="F15" s="1"/>
      <c r="G15" s="1" t="s">
        <v>174</v>
      </c>
      <c r="H15" s="1"/>
    </row>
    <row r="16" spans="1:8" ht="21" x14ac:dyDescent="0.25">
      <c r="A16" s="1"/>
      <c r="B16" s="1" t="s">
        <v>11</v>
      </c>
      <c r="C16" s="1"/>
      <c r="D16" s="1"/>
      <c r="E16" s="1"/>
      <c r="F16" s="1"/>
      <c r="G16" s="1" t="s">
        <v>175</v>
      </c>
      <c r="H16" s="1"/>
    </row>
    <row r="17" spans="1:8" ht="18" x14ac:dyDescent="0.25">
      <c r="A17" s="1"/>
      <c r="B17" s="1" t="s">
        <v>7</v>
      </c>
      <c r="C17" s="1"/>
      <c r="D17" s="1"/>
      <c r="E17" s="1"/>
      <c r="F17" s="1"/>
      <c r="G17" s="1"/>
      <c r="H17" s="1"/>
    </row>
    <row r="18" spans="1:8" ht="18.75" x14ac:dyDescent="0.3">
      <c r="A18" s="1" t="s">
        <v>13</v>
      </c>
      <c r="B18" s="1"/>
      <c r="C18" s="1"/>
      <c r="D18" s="1"/>
      <c r="E18" s="1"/>
      <c r="F18" s="1"/>
      <c r="G18" s="1"/>
      <c r="H18" s="1"/>
    </row>
    <row r="19" spans="1:8" ht="18" x14ac:dyDescent="0.25">
      <c r="A19" s="1" t="s">
        <v>14</v>
      </c>
      <c r="B19" s="1"/>
      <c r="C19" s="1"/>
      <c r="D19" s="1"/>
      <c r="E19" s="1"/>
      <c r="F19" s="1"/>
      <c r="G19" s="1"/>
      <c r="H19" s="1"/>
    </row>
    <row r="20" spans="1:8" ht="18" x14ac:dyDescent="0.25">
      <c r="A20" s="1" t="s">
        <v>15</v>
      </c>
      <c r="B20" s="1"/>
      <c r="C20" s="1"/>
      <c r="D20" s="1"/>
      <c r="E20" s="1"/>
      <c r="F20" s="1"/>
      <c r="G20" s="1"/>
      <c r="H20" s="1"/>
    </row>
    <row r="21" spans="1:8" ht="18.75" x14ac:dyDescent="0.3">
      <c r="A21" s="1" t="s">
        <v>16</v>
      </c>
      <c r="B21" s="1"/>
      <c r="C21" s="1"/>
      <c r="D21" s="1"/>
      <c r="E21" s="1"/>
      <c r="F21" s="1"/>
      <c r="G21" s="1"/>
      <c r="H21" s="1"/>
    </row>
    <row r="24" spans="1:8" ht="18" x14ac:dyDescent="0.25">
      <c r="A24" s="1" t="s">
        <v>25</v>
      </c>
    </row>
    <row r="25" spans="1:8" ht="18" x14ac:dyDescent="0.25">
      <c r="A25" s="2" t="s">
        <v>8</v>
      </c>
      <c r="B25" s="1"/>
      <c r="C25" s="1"/>
      <c r="D25" s="1"/>
      <c r="E25" s="1"/>
      <c r="F25" s="1"/>
      <c r="G25" s="1"/>
    </row>
    <row r="26" spans="1:8" ht="18" x14ac:dyDescent="0.25">
      <c r="A26" s="1"/>
      <c r="B26" s="1" t="s">
        <v>18</v>
      </c>
      <c r="C26" s="1"/>
      <c r="D26" s="1"/>
      <c r="E26" s="1"/>
      <c r="F26" s="1"/>
      <c r="G26" s="1"/>
    </row>
    <row r="27" spans="1:8" ht="18" x14ac:dyDescent="0.25">
      <c r="A27" s="1"/>
      <c r="B27" s="1" t="s">
        <v>2</v>
      </c>
      <c r="C27" s="1"/>
      <c r="D27" s="1"/>
      <c r="E27" s="1"/>
      <c r="F27" s="1"/>
      <c r="G27" s="1" t="s">
        <v>19</v>
      </c>
    </row>
    <row r="28" spans="1:8" ht="18" x14ac:dyDescent="0.25">
      <c r="A28" s="1"/>
      <c r="B28" s="1" t="s">
        <v>9</v>
      </c>
      <c r="C28" s="1"/>
      <c r="D28" s="1"/>
      <c r="E28" s="1"/>
      <c r="F28" s="1"/>
      <c r="G28" s="1" t="s">
        <v>20</v>
      </c>
    </row>
    <row r="29" spans="1:8" ht="18" x14ac:dyDescent="0.25">
      <c r="A29" s="1"/>
      <c r="B29" s="1" t="s">
        <v>11</v>
      </c>
      <c r="C29" s="1"/>
      <c r="D29" s="1"/>
      <c r="E29" s="1"/>
      <c r="F29" s="1"/>
      <c r="G29" s="1" t="s">
        <v>12</v>
      </c>
    </row>
    <row r="30" spans="1:8" ht="18" x14ac:dyDescent="0.25">
      <c r="A30" s="1"/>
      <c r="B30" s="1" t="s">
        <v>17</v>
      </c>
      <c r="C30" s="1"/>
      <c r="D30" s="1"/>
      <c r="E30" s="1"/>
      <c r="F30" s="1"/>
      <c r="G30" s="1"/>
    </row>
    <row r="31" spans="1:8" ht="18" x14ac:dyDescent="0.25">
      <c r="A31" s="1" t="s">
        <v>21</v>
      </c>
      <c r="B31" s="1"/>
      <c r="C31" s="1"/>
      <c r="D31" s="1"/>
      <c r="E31" s="1"/>
      <c r="F31" s="1"/>
      <c r="G31" s="1"/>
    </row>
    <row r="32" spans="1:8" ht="18" x14ac:dyDescent="0.25">
      <c r="A32" s="1" t="s">
        <v>22</v>
      </c>
      <c r="B32" s="1"/>
      <c r="C32" s="1"/>
      <c r="D32" s="1"/>
      <c r="E32" s="1"/>
      <c r="F32" s="1"/>
      <c r="G32" s="1"/>
    </row>
    <row r="33" spans="1:8" ht="18" x14ac:dyDescent="0.25">
      <c r="A33" s="1" t="s">
        <v>23</v>
      </c>
      <c r="B33" s="1"/>
      <c r="C33" s="1"/>
      <c r="D33" s="1"/>
      <c r="E33" s="1"/>
      <c r="F33" s="1"/>
      <c r="G33" s="1"/>
    </row>
    <row r="36" spans="1:8" ht="18" x14ac:dyDescent="0.25">
      <c r="A36" s="1" t="s">
        <v>30</v>
      </c>
    </row>
    <row r="37" spans="1:8" ht="18" x14ac:dyDescent="0.25">
      <c r="A37" s="2" t="s">
        <v>8</v>
      </c>
      <c r="B37" s="1"/>
      <c r="C37" s="1"/>
      <c r="D37" s="1"/>
      <c r="E37" s="1"/>
      <c r="F37" s="1"/>
      <c r="G37" s="1"/>
      <c r="H37" s="1"/>
    </row>
    <row r="38" spans="1:8" ht="18" x14ac:dyDescent="0.25">
      <c r="A38" s="1"/>
      <c r="B38" s="1" t="s">
        <v>18</v>
      </c>
      <c r="C38" s="1"/>
      <c r="D38" s="1"/>
      <c r="E38" s="1"/>
      <c r="F38" s="1"/>
      <c r="G38" s="1"/>
      <c r="H38" s="1"/>
    </row>
    <row r="39" spans="1:8" ht="18" x14ac:dyDescent="0.25">
      <c r="A39" s="1"/>
      <c r="B39" s="1"/>
      <c r="C39" s="1"/>
      <c r="D39" s="1"/>
      <c r="E39" s="1"/>
      <c r="F39" s="1"/>
      <c r="G39" s="1" t="s">
        <v>2</v>
      </c>
      <c r="H39" s="1" t="s">
        <v>27</v>
      </c>
    </row>
    <row r="40" spans="1:8" ht="18" x14ac:dyDescent="0.25">
      <c r="A40" s="1"/>
      <c r="B40" s="1"/>
      <c r="C40" s="1"/>
      <c r="D40" s="1"/>
      <c r="E40" s="1"/>
      <c r="F40" s="1"/>
      <c r="G40" s="1" t="s">
        <v>9</v>
      </c>
      <c r="H40" s="1" t="s">
        <v>28</v>
      </c>
    </row>
    <row r="41" spans="1:8" ht="18" x14ac:dyDescent="0.25">
      <c r="A41" s="1"/>
      <c r="B41" s="1"/>
      <c r="C41" s="1"/>
      <c r="D41" s="1"/>
      <c r="E41" s="1"/>
      <c r="F41" s="1"/>
      <c r="G41" s="1" t="s">
        <v>11</v>
      </c>
      <c r="H41" s="1" t="s">
        <v>29</v>
      </c>
    </row>
    <row r="42" spans="1:8" ht="18" x14ac:dyDescent="0.25">
      <c r="A42" s="1"/>
      <c r="B42" s="1" t="s">
        <v>26</v>
      </c>
      <c r="C42" s="1"/>
      <c r="D42" s="1"/>
      <c r="E42" s="1"/>
      <c r="F42" s="1"/>
      <c r="G42" s="1"/>
      <c r="H42" s="1"/>
    </row>
    <row r="45" spans="1:8" ht="18" x14ac:dyDescent="0.25">
      <c r="A45" s="1" t="s">
        <v>34</v>
      </c>
    </row>
    <row r="46" spans="1:8" ht="18" x14ac:dyDescent="0.25">
      <c r="A46" s="2" t="s">
        <v>8</v>
      </c>
      <c r="B46" s="1"/>
      <c r="C46" s="1"/>
      <c r="D46" s="1"/>
      <c r="E46" s="1"/>
      <c r="F46" s="1"/>
      <c r="G46" s="1"/>
      <c r="H46" s="1"/>
    </row>
    <row r="47" spans="1:8" ht="18" x14ac:dyDescent="0.25">
      <c r="A47" s="1"/>
      <c r="B47" s="1" t="s">
        <v>18</v>
      </c>
      <c r="C47" s="1"/>
      <c r="D47" s="1"/>
      <c r="E47" s="1"/>
      <c r="F47" s="1"/>
      <c r="G47" s="1"/>
      <c r="H47" s="1"/>
    </row>
    <row r="48" spans="1:8" ht="18" x14ac:dyDescent="0.25">
      <c r="A48" s="1"/>
      <c r="B48" s="1"/>
      <c r="C48" s="1"/>
      <c r="D48" s="1"/>
      <c r="E48" s="1"/>
      <c r="F48" s="1"/>
      <c r="G48" s="1" t="s">
        <v>2</v>
      </c>
      <c r="H48" s="1" t="s">
        <v>27</v>
      </c>
    </row>
    <row r="49" spans="1:9" ht="18" x14ac:dyDescent="0.25">
      <c r="A49" s="1"/>
      <c r="B49" s="1"/>
      <c r="C49" s="1"/>
      <c r="D49" s="1"/>
      <c r="E49" s="1"/>
      <c r="F49" s="1"/>
      <c r="G49" s="1" t="s">
        <v>9</v>
      </c>
      <c r="H49" s="1" t="s">
        <v>28</v>
      </c>
    </row>
    <row r="50" spans="1:9" ht="18" x14ac:dyDescent="0.25">
      <c r="A50" s="1"/>
      <c r="B50" s="1"/>
      <c r="C50" s="1"/>
      <c r="D50" s="1"/>
      <c r="E50" s="1"/>
      <c r="F50" s="1"/>
      <c r="G50" s="1" t="s">
        <v>11</v>
      </c>
      <c r="H50" s="1" t="s">
        <v>29</v>
      </c>
    </row>
    <row r="51" spans="1:9" ht="18" x14ac:dyDescent="0.25">
      <c r="A51" s="1"/>
      <c r="B51" s="1" t="s">
        <v>31</v>
      </c>
      <c r="C51" s="1"/>
      <c r="D51" s="1"/>
      <c r="E51" s="1"/>
      <c r="F51" s="1"/>
      <c r="G51" s="1"/>
      <c r="H51" s="1"/>
    </row>
    <row r="52" spans="1:9" ht="18" x14ac:dyDescent="0.25">
      <c r="A52" s="1" t="s">
        <v>21</v>
      </c>
      <c r="B52" s="1"/>
      <c r="C52" s="1"/>
      <c r="D52" s="1"/>
      <c r="E52" s="1"/>
      <c r="F52" s="1"/>
      <c r="G52" s="1"/>
      <c r="H52" s="1"/>
    </row>
    <row r="53" spans="1:9" ht="18" x14ac:dyDescent="0.25">
      <c r="A53" s="1" t="s">
        <v>32</v>
      </c>
      <c r="B53" s="1"/>
      <c r="C53" s="1"/>
      <c r="D53" s="1"/>
      <c r="E53" s="1"/>
      <c r="F53" s="1"/>
      <c r="G53" s="1"/>
      <c r="H53" s="1"/>
    </row>
    <row r="54" spans="1:9" ht="18" x14ac:dyDescent="0.25">
      <c r="A54" s="1" t="s">
        <v>33</v>
      </c>
      <c r="B54" s="1"/>
      <c r="C54" s="1"/>
      <c r="D54" s="1"/>
      <c r="E54" s="1"/>
      <c r="F54" s="1"/>
      <c r="G54" s="1"/>
      <c r="H54" s="1"/>
    </row>
    <row r="57" spans="1:9" ht="18" x14ac:dyDescent="0.25">
      <c r="A57" s="1" t="s">
        <v>39</v>
      </c>
    </row>
    <row r="58" spans="1:9" ht="18" x14ac:dyDescent="0.25">
      <c r="A58" s="2" t="s">
        <v>8</v>
      </c>
      <c r="B58" s="1"/>
      <c r="C58" s="1"/>
      <c r="D58" s="1"/>
      <c r="E58" s="1"/>
      <c r="F58" s="1"/>
      <c r="G58" s="1"/>
      <c r="H58" s="1"/>
    </row>
    <row r="59" spans="1:9" ht="18" x14ac:dyDescent="0.25">
      <c r="A59" s="1"/>
      <c r="B59" s="1" t="s">
        <v>18</v>
      </c>
      <c r="C59" s="1"/>
      <c r="D59" s="1"/>
      <c r="E59" s="1"/>
      <c r="F59" s="1"/>
      <c r="G59" s="1"/>
      <c r="H59" s="1"/>
    </row>
    <row r="60" spans="1:9" ht="18" x14ac:dyDescent="0.25">
      <c r="A60" s="1"/>
      <c r="B60" s="1"/>
      <c r="C60" s="1"/>
      <c r="D60" s="1"/>
      <c r="E60" s="1"/>
      <c r="F60" s="1"/>
      <c r="G60" s="1" t="s">
        <v>2</v>
      </c>
      <c r="H60" s="1" t="s">
        <v>36</v>
      </c>
    </row>
    <row r="61" spans="1:9" ht="18" x14ac:dyDescent="0.25">
      <c r="A61" s="1"/>
      <c r="B61" s="1"/>
      <c r="C61" s="1"/>
      <c r="D61" s="1"/>
      <c r="E61" s="1"/>
      <c r="F61" s="1"/>
      <c r="G61" s="1" t="s">
        <v>9</v>
      </c>
      <c r="H61" s="1" t="s">
        <v>37</v>
      </c>
    </row>
    <row r="62" spans="1:9" ht="18" x14ac:dyDescent="0.25">
      <c r="A62" s="1"/>
      <c r="B62" s="1"/>
      <c r="C62" s="1"/>
      <c r="D62" s="1"/>
      <c r="E62" s="1"/>
      <c r="F62" s="1"/>
      <c r="G62" s="1" t="s">
        <v>11</v>
      </c>
      <c r="H62" s="1" t="s">
        <v>38</v>
      </c>
      <c r="I62" s="1" t="s">
        <v>86</v>
      </c>
    </row>
    <row r="63" spans="1:9" ht="18" x14ac:dyDescent="0.25">
      <c r="A63" s="1"/>
      <c r="B63" s="1" t="s">
        <v>35</v>
      </c>
      <c r="C63" s="1"/>
      <c r="D63" s="1"/>
      <c r="E63" s="1"/>
      <c r="F63" s="1"/>
      <c r="G63" s="1"/>
      <c r="H63" s="1"/>
    </row>
    <row r="66" spans="1:22" ht="18" x14ac:dyDescent="0.25">
      <c r="A66" s="1" t="s">
        <v>50</v>
      </c>
    </row>
    <row r="67" spans="1:22" ht="18" x14ac:dyDescent="0.25">
      <c r="A67" s="2" t="s">
        <v>8</v>
      </c>
      <c r="B67" s="1"/>
      <c r="C67" s="1"/>
      <c r="D67" s="1"/>
      <c r="E67" s="1"/>
      <c r="F67" s="1"/>
      <c r="G67" s="1"/>
      <c r="H67" s="1"/>
      <c r="I67" s="1"/>
    </row>
    <row r="68" spans="1:22" ht="18" x14ac:dyDescent="0.25">
      <c r="A68" s="1"/>
      <c r="B68" s="1" t="s">
        <v>18</v>
      </c>
      <c r="C68" s="1"/>
      <c r="D68" s="1"/>
      <c r="E68" s="1"/>
      <c r="F68" s="1"/>
      <c r="G68" s="1"/>
      <c r="H68" s="1"/>
      <c r="I68" s="1"/>
    </row>
    <row r="69" spans="1:22" ht="18" x14ac:dyDescent="0.25">
      <c r="A69" s="1"/>
      <c r="B69" s="1"/>
      <c r="C69" s="1"/>
      <c r="D69" s="1"/>
      <c r="E69" s="1"/>
      <c r="F69" s="1"/>
      <c r="G69" s="1" t="s">
        <v>40</v>
      </c>
      <c r="H69" s="1" t="s">
        <v>41</v>
      </c>
    </row>
    <row r="70" spans="1:22" ht="18" x14ac:dyDescent="0.25">
      <c r="A70" s="1"/>
      <c r="B70" s="1"/>
      <c r="C70" s="1"/>
      <c r="D70" s="1"/>
      <c r="E70" s="1"/>
      <c r="F70" s="1"/>
      <c r="G70" s="1" t="s">
        <v>42</v>
      </c>
      <c r="H70" s="1" t="s">
        <v>43</v>
      </c>
      <c r="I70" s="1"/>
    </row>
    <row r="71" spans="1:22" ht="18" x14ac:dyDescent="0.25">
      <c r="A71" s="1"/>
      <c r="B71" s="1"/>
      <c r="C71" s="1"/>
      <c r="D71" s="1"/>
      <c r="E71" s="1"/>
      <c r="F71" s="1"/>
      <c r="G71" s="1" t="s">
        <v>44</v>
      </c>
      <c r="H71" s="1" t="s">
        <v>45</v>
      </c>
      <c r="I71" s="1"/>
    </row>
    <row r="72" spans="1:22" ht="18" x14ac:dyDescent="0.25">
      <c r="A72" s="1"/>
      <c r="B72" s="1"/>
      <c r="C72" s="1"/>
      <c r="D72" s="1"/>
      <c r="E72" s="1"/>
      <c r="F72" s="1"/>
      <c r="G72" s="1" t="s">
        <v>46</v>
      </c>
      <c r="H72" s="1" t="s">
        <v>47</v>
      </c>
      <c r="I72" s="1"/>
    </row>
    <row r="73" spans="1:22" ht="18" x14ac:dyDescent="0.25">
      <c r="A73" s="1"/>
      <c r="B73" s="1" t="s">
        <v>48</v>
      </c>
      <c r="C73" s="1"/>
      <c r="D73" s="1"/>
      <c r="E73" s="1"/>
      <c r="F73" s="1"/>
      <c r="G73" s="1"/>
      <c r="H73" s="1"/>
      <c r="I73" s="1"/>
    </row>
    <row r="74" spans="1:22" ht="18" x14ac:dyDescent="0.25">
      <c r="A74" s="1"/>
      <c r="B74" s="1" t="s">
        <v>49</v>
      </c>
      <c r="C74" s="1"/>
      <c r="D74" s="1"/>
      <c r="E74" s="1"/>
      <c r="F74" s="1"/>
      <c r="G74" s="1"/>
      <c r="H74" s="1"/>
      <c r="I74" s="1"/>
    </row>
    <row r="77" spans="1:22" x14ac:dyDescent="0.2">
      <c r="A77" t="s">
        <v>55</v>
      </c>
      <c r="B77" t="s">
        <v>56</v>
      </c>
      <c r="C77" t="s">
        <v>52</v>
      </c>
      <c r="D77" t="s">
        <v>53</v>
      </c>
      <c r="E77" t="s">
        <v>83</v>
      </c>
      <c r="F77" t="s">
        <v>84</v>
      </c>
      <c r="G77" t="s">
        <v>51</v>
      </c>
    </row>
    <row r="78" spans="1:22" ht="18" x14ac:dyDescent="0.25">
      <c r="A78" t="s">
        <v>54</v>
      </c>
      <c r="B78" t="s">
        <v>57</v>
      </c>
      <c r="E78">
        <v>1.5</v>
      </c>
      <c r="F78">
        <v>12</v>
      </c>
      <c r="G78">
        <f>G81*POWER(10,E78*-1/F78)</f>
        <v>310.53119208457002</v>
      </c>
      <c r="V78" s="1"/>
    </row>
    <row r="79" spans="1:22" ht="18" x14ac:dyDescent="0.25">
      <c r="B79" t="s">
        <v>58</v>
      </c>
      <c r="H79" s="1" t="s">
        <v>5</v>
      </c>
      <c r="I79" s="1"/>
    </row>
    <row r="80" spans="1:22" ht="18" x14ac:dyDescent="0.25">
      <c r="B80" t="s">
        <v>59</v>
      </c>
      <c r="H80" s="1" t="s">
        <v>6</v>
      </c>
      <c r="I80" s="1"/>
    </row>
    <row r="81" spans="2:9" x14ac:dyDescent="0.2">
      <c r="B81" t="s">
        <v>60</v>
      </c>
      <c r="G81">
        <v>414.1</v>
      </c>
    </row>
    <row r="82" spans="2:9" ht="18" x14ac:dyDescent="0.25">
      <c r="B82" t="s">
        <v>61</v>
      </c>
      <c r="H82" s="1" t="s">
        <v>54</v>
      </c>
    </row>
    <row r="83" spans="2:9" ht="18" x14ac:dyDescent="0.25">
      <c r="B83" t="s">
        <v>62</v>
      </c>
      <c r="H83" s="1" t="s">
        <v>2</v>
      </c>
      <c r="I83" s="1" t="s">
        <v>19</v>
      </c>
    </row>
    <row r="84" spans="2:9" ht="18" x14ac:dyDescent="0.25">
      <c r="B84" t="s">
        <v>63</v>
      </c>
      <c r="E84">
        <v>1.5</v>
      </c>
      <c r="F84">
        <v>12</v>
      </c>
      <c r="G84">
        <f>G81*POWER(10,E84*1/F84)</f>
        <v>552.2112250588325</v>
      </c>
      <c r="H84" s="1" t="s">
        <v>9</v>
      </c>
      <c r="I84" s="1" t="s">
        <v>20</v>
      </c>
    </row>
    <row r="85" spans="2:9" ht="18" x14ac:dyDescent="0.25">
      <c r="B85" t="s">
        <v>70</v>
      </c>
      <c r="E85">
        <v>1.5</v>
      </c>
      <c r="F85">
        <v>12</v>
      </c>
      <c r="G85">
        <f>G88*POWER(10,E85*-1/F85)</f>
        <v>187.47355233311396</v>
      </c>
      <c r="H85" s="1" t="s">
        <v>11</v>
      </c>
      <c r="I85" s="1" t="s">
        <v>12</v>
      </c>
    </row>
    <row r="86" spans="2:9" x14ac:dyDescent="0.2">
      <c r="B86" t="s">
        <v>64</v>
      </c>
    </row>
    <row r="87" spans="2:9" ht="18" x14ac:dyDescent="0.25">
      <c r="B87" t="s">
        <v>65</v>
      </c>
      <c r="H87" s="1" t="s">
        <v>88</v>
      </c>
    </row>
    <row r="88" spans="2:9" x14ac:dyDescent="0.2">
      <c r="B88" t="s">
        <v>66</v>
      </c>
      <c r="G88">
        <v>250</v>
      </c>
    </row>
    <row r="89" spans="2:9" ht="18" x14ac:dyDescent="0.25">
      <c r="B89" t="s">
        <v>67</v>
      </c>
      <c r="H89" s="1" t="s">
        <v>85</v>
      </c>
    </row>
    <row r="90" spans="2:9" x14ac:dyDescent="0.2">
      <c r="B90" t="s">
        <v>68</v>
      </c>
    </row>
    <row r="91" spans="2:9" x14ac:dyDescent="0.2">
      <c r="B91" t="s">
        <v>69</v>
      </c>
      <c r="E91">
        <v>1.5</v>
      </c>
      <c r="F91">
        <v>12</v>
      </c>
      <c r="G91">
        <f>G88*POWER(10,E91*1/F91)</f>
        <v>333.38035804083097</v>
      </c>
    </row>
    <row r="92" spans="2:9" x14ac:dyDescent="0.2">
      <c r="B92" t="s">
        <v>77</v>
      </c>
      <c r="E92">
        <v>1.6</v>
      </c>
      <c r="F92">
        <v>10</v>
      </c>
      <c r="G92">
        <f>G95*POWER(10,E92*-1/F92)</f>
        <v>0.10515830757967835</v>
      </c>
    </row>
    <row r="93" spans="2:9" x14ac:dyDescent="0.2">
      <c r="B93" t="s">
        <v>71</v>
      </c>
    </row>
    <row r="94" spans="2:9" x14ac:dyDescent="0.2">
      <c r="B94" t="s">
        <v>72</v>
      </c>
    </row>
    <row r="95" spans="2:9" x14ac:dyDescent="0.2">
      <c r="B95" t="s">
        <v>73</v>
      </c>
      <c r="G95">
        <v>0.152</v>
      </c>
    </row>
    <row r="96" spans="2:9" x14ac:dyDescent="0.2">
      <c r="B96" t="s">
        <v>74</v>
      </c>
    </row>
    <row r="97" spans="1:22" x14ac:dyDescent="0.2">
      <c r="B97" t="s">
        <v>75</v>
      </c>
    </row>
    <row r="98" spans="1:22" x14ac:dyDescent="0.2">
      <c r="B98" t="s">
        <v>76</v>
      </c>
      <c r="E98">
        <v>1.6</v>
      </c>
      <c r="F98">
        <v>10</v>
      </c>
      <c r="G98">
        <f>G95*POWER(10,E98*1/F98)</f>
        <v>0.21970684515338096</v>
      </c>
    </row>
    <row r="99" spans="1:22" ht="18" x14ac:dyDescent="0.25">
      <c r="A99" t="s">
        <v>78</v>
      </c>
      <c r="B99" t="s">
        <v>57</v>
      </c>
      <c r="E99">
        <v>1.5</v>
      </c>
      <c r="F99">
        <v>12</v>
      </c>
      <c r="G99">
        <f>G102*POWER(10,E99*-1/F99)</f>
        <v>109.78451224627155</v>
      </c>
      <c r="V99" s="1"/>
    </row>
    <row r="100" spans="1:22" ht="18" x14ac:dyDescent="0.25">
      <c r="B100" t="s">
        <v>58</v>
      </c>
      <c r="H100" s="1" t="s">
        <v>78</v>
      </c>
    </row>
    <row r="101" spans="1:22" ht="18" x14ac:dyDescent="0.25">
      <c r="B101" t="s">
        <v>59</v>
      </c>
      <c r="H101" s="1" t="s">
        <v>2</v>
      </c>
      <c r="I101" s="1" t="s">
        <v>3</v>
      </c>
    </row>
    <row r="102" spans="1:22" ht="18" x14ac:dyDescent="0.25">
      <c r="B102" t="s">
        <v>60</v>
      </c>
      <c r="G102">
        <v>146.4</v>
      </c>
      <c r="H102" s="1" t="s">
        <v>9</v>
      </c>
      <c r="I102" s="1" t="s">
        <v>10</v>
      </c>
    </row>
    <row r="103" spans="1:22" ht="18" x14ac:dyDescent="0.25">
      <c r="B103" t="s">
        <v>61</v>
      </c>
      <c r="H103" s="1" t="s">
        <v>11</v>
      </c>
      <c r="I103" s="1" t="s">
        <v>12</v>
      </c>
    </row>
    <row r="104" spans="1:22" x14ac:dyDescent="0.2">
      <c r="B104" t="s">
        <v>62</v>
      </c>
    </row>
    <row r="105" spans="1:22" ht="18" x14ac:dyDescent="0.25">
      <c r="B105" t="s">
        <v>63</v>
      </c>
      <c r="E105">
        <v>1.5</v>
      </c>
      <c r="F105">
        <v>12</v>
      </c>
      <c r="G105">
        <f>G102*POWER(10,E105*1/F105)</f>
        <v>195.22753766871062</v>
      </c>
      <c r="H105" s="1" t="s">
        <v>88</v>
      </c>
    </row>
    <row r="106" spans="1:22" x14ac:dyDescent="0.2">
      <c r="B106" t="s">
        <v>70</v>
      </c>
      <c r="E106">
        <v>1.5</v>
      </c>
      <c r="F106">
        <v>12</v>
      </c>
      <c r="G106">
        <f>G109*POWER(10,E106*-1/F106)</f>
        <v>66.283149162895782</v>
      </c>
    </row>
    <row r="107" spans="1:22" ht="18" x14ac:dyDescent="0.25">
      <c r="B107" t="s">
        <v>64</v>
      </c>
      <c r="H107" s="1" t="s">
        <v>85</v>
      </c>
    </row>
    <row r="108" spans="1:22" x14ac:dyDescent="0.2">
      <c r="B108" t="s">
        <v>65</v>
      </c>
    </row>
    <row r="109" spans="1:22" x14ac:dyDescent="0.2">
      <c r="B109" t="s">
        <v>66</v>
      </c>
      <c r="G109">
        <v>88.39</v>
      </c>
    </row>
    <row r="110" spans="1:22" x14ac:dyDescent="0.2">
      <c r="B110" t="s">
        <v>67</v>
      </c>
    </row>
    <row r="111" spans="1:22" x14ac:dyDescent="0.2">
      <c r="B111" t="s">
        <v>68</v>
      </c>
    </row>
    <row r="112" spans="1:22" x14ac:dyDescent="0.2">
      <c r="B112" t="s">
        <v>69</v>
      </c>
      <c r="E112">
        <v>1.5</v>
      </c>
      <c r="F112">
        <v>12</v>
      </c>
      <c r="G112">
        <f>G109*POWER(10,E112*1/F112)</f>
        <v>117.8699593889162</v>
      </c>
    </row>
    <row r="113" spans="1:22" x14ac:dyDescent="0.2">
      <c r="B113" t="s">
        <v>77</v>
      </c>
      <c r="E113">
        <v>1.6</v>
      </c>
      <c r="F113">
        <v>10</v>
      </c>
      <c r="G113">
        <f>G116*POWER(10,E113*-1/F113)</f>
        <v>0.10515830757967835</v>
      </c>
    </row>
    <row r="114" spans="1:22" x14ac:dyDescent="0.2">
      <c r="B114" t="s">
        <v>71</v>
      </c>
    </row>
    <row r="115" spans="1:22" x14ac:dyDescent="0.2">
      <c r="B115" t="s">
        <v>72</v>
      </c>
    </row>
    <row r="116" spans="1:22" x14ac:dyDescent="0.2">
      <c r="B116" t="s">
        <v>73</v>
      </c>
      <c r="G116">
        <v>0.152</v>
      </c>
    </row>
    <row r="117" spans="1:22" x14ac:dyDescent="0.2">
      <c r="B117" t="s">
        <v>74</v>
      </c>
    </row>
    <row r="118" spans="1:22" x14ac:dyDescent="0.2">
      <c r="B118" t="s">
        <v>75</v>
      </c>
    </row>
    <row r="119" spans="1:22" x14ac:dyDescent="0.2">
      <c r="B119" t="s">
        <v>76</v>
      </c>
      <c r="E119">
        <v>1.6</v>
      </c>
      <c r="F119">
        <v>10</v>
      </c>
      <c r="G119">
        <f>G116*POWER(10,E119*1/F119)</f>
        <v>0.21970684515338096</v>
      </c>
    </row>
    <row r="120" spans="1:22" ht="18" x14ac:dyDescent="0.25">
      <c r="A120" t="s">
        <v>79</v>
      </c>
      <c r="B120" t="s">
        <v>57</v>
      </c>
      <c r="E120">
        <v>1.25</v>
      </c>
      <c r="F120">
        <v>12</v>
      </c>
      <c r="G120">
        <f>G123*POWER(10,E120*-1/F120)</f>
        <v>56.330856628451698</v>
      </c>
      <c r="V120" s="1"/>
    </row>
    <row r="121" spans="1:22" ht="18" x14ac:dyDescent="0.25">
      <c r="B121" t="s">
        <v>58</v>
      </c>
      <c r="H121" s="1" t="s">
        <v>79</v>
      </c>
    </row>
    <row r="122" spans="1:22" ht="18" x14ac:dyDescent="0.25">
      <c r="B122" t="s">
        <v>59</v>
      </c>
      <c r="H122" s="1" t="s">
        <v>2</v>
      </c>
      <c r="I122" s="1" t="s">
        <v>27</v>
      </c>
    </row>
    <row r="123" spans="1:22" ht="18" x14ac:dyDescent="0.25">
      <c r="B123" t="s">
        <v>60</v>
      </c>
      <c r="G123">
        <v>71.599999999999994</v>
      </c>
      <c r="H123" s="1" t="s">
        <v>9</v>
      </c>
      <c r="I123" s="1" t="s">
        <v>28</v>
      </c>
    </row>
    <row r="124" spans="1:22" ht="18" x14ac:dyDescent="0.25">
      <c r="B124" t="s">
        <v>61</v>
      </c>
      <c r="H124" s="1" t="s">
        <v>11</v>
      </c>
      <c r="I124" s="1" t="s">
        <v>29</v>
      </c>
    </row>
    <row r="125" spans="1:22" x14ac:dyDescent="0.2">
      <c r="B125" t="s">
        <v>62</v>
      </c>
    </row>
    <row r="126" spans="1:22" ht="18" x14ac:dyDescent="0.25">
      <c r="B126" t="s">
        <v>63</v>
      </c>
      <c r="E126">
        <v>1.25</v>
      </c>
      <c r="F126">
        <v>12</v>
      </c>
      <c r="G126">
        <f>G123*POWER(10,E126*1/F126)</f>
        <v>91.00802485241573</v>
      </c>
      <c r="H126" s="1" t="s">
        <v>88</v>
      </c>
    </row>
    <row r="127" spans="1:22" x14ac:dyDescent="0.2">
      <c r="B127" t="s">
        <v>70</v>
      </c>
      <c r="E127">
        <v>1.25</v>
      </c>
      <c r="F127">
        <v>12</v>
      </c>
      <c r="G127">
        <f>G130*POWER(10,E127*-1/F127)</f>
        <v>36.976958960017178</v>
      </c>
    </row>
    <row r="128" spans="1:22" ht="18" x14ac:dyDescent="0.25">
      <c r="B128" t="s">
        <v>64</v>
      </c>
      <c r="H128" s="1" t="s">
        <v>85</v>
      </c>
    </row>
    <row r="129" spans="1:22" x14ac:dyDescent="0.2">
      <c r="B129" t="s">
        <v>65</v>
      </c>
    </row>
    <row r="130" spans="1:22" x14ac:dyDescent="0.2">
      <c r="B130" t="s">
        <v>66</v>
      </c>
      <c r="G130">
        <v>47</v>
      </c>
    </row>
    <row r="131" spans="1:22" x14ac:dyDescent="0.2">
      <c r="B131" t="s">
        <v>67</v>
      </c>
    </row>
    <row r="132" spans="1:22" x14ac:dyDescent="0.2">
      <c r="B132" t="s">
        <v>68</v>
      </c>
    </row>
    <row r="133" spans="1:22" x14ac:dyDescent="0.2">
      <c r="B133" t="s">
        <v>69</v>
      </c>
      <c r="E133">
        <v>1.25</v>
      </c>
      <c r="F133">
        <v>12</v>
      </c>
      <c r="G133">
        <f>G130*POWER(10,E133*1/F133)</f>
        <v>59.739904581893008</v>
      </c>
    </row>
    <row r="134" spans="1:22" x14ac:dyDescent="0.2">
      <c r="B134" t="s">
        <v>77</v>
      </c>
      <c r="E134">
        <v>1.4</v>
      </c>
      <c r="F134">
        <v>10</v>
      </c>
      <c r="G134">
        <f>G137*POWER(10,E134*-1/F134)</f>
        <v>5.7954876805999207E-2</v>
      </c>
    </row>
    <row r="135" spans="1:22" x14ac:dyDescent="0.2">
      <c r="B135" t="s">
        <v>71</v>
      </c>
    </row>
    <row r="136" spans="1:22" x14ac:dyDescent="0.2">
      <c r="B136" t="s">
        <v>72</v>
      </c>
    </row>
    <row r="137" spans="1:22" x14ac:dyDescent="0.2">
      <c r="B137" t="s">
        <v>73</v>
      </c>
      <c r="G137">
        <v>0.08</v>
      </c>
    </row>
    <row r="138" spans="1:22" x14ac:dyDescent="0.2">
      <c r="B138" t="s">
        <v>74</v>
      </c>
    </row>
    <row r="139" spans="1:22" x14ac:dyDescent="0.2">
      <c r="B139" t="s">
        <v>75</v>
      </c>
    </row>
    <row r="140" spans="1:22" x14ac:dyDescent="0.2">
      <c r="B140" t="s">
        <v>76</v>
      </c>
      <c r="E140">
        <v>1.4</v>
      </c>
      <c r="F140">
        <v>10</v>
      </c>
      <c r="G140">
        <f>G137*POWER(10,E140*1/F140)</f>
        <v>0.11043074116823079</v>
      </c>
    </row>
    <row r="141" spans="1:22" ht="18" x14ac:dyDescent="0.25">
      <c r="A141" t="s">
        <v>80</v>
      </c>
      <c r="B141" t="s">
        <v>57</v>
      </c>
      <c r="E141">
        <v>1.25</v>
      </c>
      <c r="F141">
        <v>12</v>
      </c>
      <c r="G141">
        <f>G144*POWER(10,E141*-1/F141)</f>
        <v>56.330856628451698</v>
      </c>
      <c r="V141" s="1"/>
    </row>
    <row r="142" spans="1:22" ht="18" x14ac:dyDescent="0.25">
      <c r="B142" t="s">
        <v>58</v>
      </c>
      <c r="H142" s="1" t="s">
        <v>80</v>
      </c>
    </row>
    <row r="143" spans="1:22" ht="18" x14ac:dyDescent="0.25">
      <c r="B143" t="s">
        <v>59</v>
      </c>
      <c r="H143" s="1" t="s">
        <v>2</v>
      </c>
      <c r="I143" s="1" t="s">
        <v>27</v>
      </c>
    </row>
    <row r="144" spans="1:22" ht="18" x14ac:dyDescent="0.25">
      <c r="B144" t="s">
        <v>60</v>
      </c>
      <c r="G144">
        <v>71.599999999999994</v>
      </c>
      <c r="H144" s="1" t="s">
        <v>9</v>
      </c>
      <c r="I144" s="1" t="s">
        <v>28</v>
      </c>
    </row>
    <row r="145" spans="2:9" ht="18" x14ac:dyDescent="0.25">
      <c r="B145" t="s">
        <v>61</v>
      </c>
      <c r="H145" s="1" t="s">
        <v>11</v>
      </c>
      <c r="I145" s="1" t="s">
        <v>29</v>
      </c>
    </row>
    <row r="146" spans="2:9" x14ac:dyDescent="0.2">
      <c r="B146" t="s">
        <v>62</v>
      </c>
    </row>
    <row r="147" spans="2:9" ht="18" x14ac:dyDescent="0.25">
      <c r="B147" t="s">
        <v>63</v>
      </c>
      <c r="E147">
        <v>1.25</v>
      </c>
      <c r="F147">
        <v>12</v>
      </c>
      <c r="G147">
        <f>G144*POWER(10,E147*1/F147)</f>
        <v>91.00802485241573</v>
      </c>
      <c r="H147" s="1" t="s">
        <v>88</v>
      </c>
    </row>
    <row r="148" spans="2:9" x14ac:dyDescent="0.2">
      <c r="B148" t="s">
        <v>70</v>
      </c>
      <c r="E148">
        <v>1.25</v>
      </c>
      <c r="F148">
        <v>12</v>
      </c>
      <c r="G148">
        <f>G151*POWER(10,E148*-1/F148)</f>
        <v>36.976958960017178</v>
      </c>
    </row>
    <row r="149" spans="2:9" ht="18" x14ac:dyDescent="0.25">
      <c r="B149" t="s">
        <v>64</v>
      </c>
      <c r="H149" s="1" t="s">
        <v>85</v>
      </c>
    </row>
    <row r="150" spans="2:9" x14ac:dyDescent="0.2">
      <c r="B150" t="s">
        <v>65</v>
      </c>
    </row>
    <row r="151" spans="2:9" x14ac:dyDescent="0.2">
      <c r="B151" t="s">
        <v>66</v>
      </c>
      <c r="G151">
        <v>47</v>
      </c>
    </row>
    <row r="152" spans="2:9" x14ac:dyDescent="0.2">
      <c r="B152" t="s">
        <v>67</v>
      </c>
    </row>
    <row r="153" spans="2:9" x14ac:dyDescent="0.2">
      <c r="B153" t="s">
        <v>68</v>
      </c>
    </row>
    <row r="154" spans="2:9" x14ac:dyDescent="0.2">
      <c r="B154" t="s">
        <v>69</v>
      </c>
      <c r="E154">
        <v>1.25</v>
      </c>
      <c r="F154">
        <v>12</v>
      </c>
      <c r="G154">
        <f>G151*POWER(10,E154*1/F154)</f>
        <v>59.739904581893008</v>
      </c>
    </row>
    <row r="155" spans="2:9" x14ac:dyDescent="0.2">
      <c r="B155" t="s">
        <v>77</v>
      </c>
      <c r="E155">
        <v>1.4</v>
      </c>
      <c r="F155">
        <v>10</v>
      </c>
      <c r="G155">
        <f>G158*POWER(10,E155*-1/F155)</f>
        <v>5.7954876805999207E-2</v>
      </c>
    </row>
    <row r="156" spans="2:9" x14ac:dyDescent="0.2">
      <c r="B156" t="s">
        <v>71</v>
      </c>
    </row>
    <row r="157" spans="2:9" x14ac:dyDescent="0.2">
      <c r="B157" t="s">
        <v>72</v>
      </c>
    </row>
    <row r="158" spans="2:9" x14ac:dyDescent="0.2">
      <c r="B158" t="s">
        <v>73</v>
      </c>
      <c r="G158">
        <v>0.08</v>
      </c>
    </row>
    <row r="159" spans="2:9" x14ac:dyDescent="0.2">
      <c r="B159" t="s">
        <v>74</v>
      </c>
    </row>
    <row r="160" spans="2:9" x14ac:dyDescent="0.2">
      <c r="B160" t="s">
        <v>75</v>
      </c>
    </row>
    <row r="161" spans="1:22" x14ac:dyDescent="0.2">
      <c r="B161" t="s">
        <v>76</v>
      </c>
      <c r="E161">
        <v>1.4</v>
      </c>
      <c r="F161">
        <v>10</v>
      </c>
      <c r="G161">
        <f>G158*POWER(10,E161*1/F161)</f>
        <v>0.11043074116823079</v>
      </c>
    </row>
    <row r="162" spans="1:22" ht="18" x14ac:dyDescent="0.25">
      <c r="A162" t="s">
        <v>81</v>
      </c>
      <c r="B162" t="s">
        <v>57</v>
      </c>
      <c r="E162">
        <v>1</v>
      </c>
      <c r="F162">
        <v>6</v>
      </c>
      <c r="G162">
        <f>G165*POWER(10,E162*-1/F162)</f>
        <v>10.219381035869418</v>
      </c>
      <c r="V162" s="1"/>
    </row>
    <row r="163" spans="1:22" x14ac:dyDescent="0.2">
      <c r="B163" t="s">
        <v>58</v>
      </c>
    </row>
    <row r="164" spans="1:22" ht="18" x14ac:dyDescent="0.25">
      <c r="B164" t="s">
        <v>59</v>
      </c>
      <c r="H164" s="1" t="s">
        <v>2</v>
      </c>
      <c r="I164" s="1" t="s">
        <v>36</v>
      </c>
    </row>
    <row r="165" spans="1:22" ht="18" x14ac:dyDescent="0.25">
      <c r="B165" t="s">
        <v>60</v>
      </c>
      <c r="G165">
        <v>15</v>
      </c>
      <c r="H165" s="1" t="s">
        <v>9</v>
      </c>
      <c r="I165" s="1" t="s">
        <v>37</v>
      </c>
    </row>
    <row r="166" spans="1:22" ht="18" x14ac:dyDescent="0.25">
      <c r="B166" t="s">
        <v>61</v>
      </c>
      <c r="H166" s="1" t="s">
        <v>11</v>
      </c>
      <c r="I166" s="1" t="s">
        <v>38</v>
      </c>
    </row>
    <row r="167" spans="1:22" x14ac:dyDescent="0.2">
      <c r="B167" t="s">
        <v>62</v>
      </c>
    </row>
    <row r="168" spans="1:22" ht="18" x14ac:dyDescent="0.25">
      <c r="B168" t="s">
        <v>63</v>
      </c>
      <c r="E168">
        <v>1</v>
      </c>
      <c r="F168">
        <v>6</v>
      </c>
      <c r="G168">
        <f>G165*POWER(10,E168*1/F168)</f>
        <v>22.016989014331045</v>
      </c>
      <c r="H168" s="1" t="s">
        <v>87</v>
      </c>
    </row>
    <row r="169" spans="1:22" x14ac:dyDescent="0.2">
      <c r="B169" t="s">
        <v>70</v>
      </c>
      <c r="E169">
        <v>1</v>
      </c>
      <c r="F169">
        <v>6</v>
      </c>
      <c r="G169">
        <f>G172*POWER(10,E169*-1/F169)</f>
        <v>6.8129206905796122</v>
      </c>
    </row>
    <row r="170" spans="1:22" x14ac:dyDescent="0.2">
      <c r="B170" t="s">
        <v>64</v>
      </c>
    </row>
    <row r="171" spans="1:22" x14ac:dyDescent="0.2">
      <c r="B171" t="s">
        <v>65</v>
      </c>
    </row>
    <row r="172" spans="1:22" x14ac:dyDescent="0.2">
      <c r="B172" t="s">
        <v>66</v>
      </c>
      <c r="G172">
        <v>10</v>
      </c>
    </row>
    <row r="173" spans="1:22" x14ac:dyDescent="0.2">
      <c r="B173" t="s">
        <v>67</v>
      </c>
    </row>
    <row r="174" spans="1:22" x14ac:dyDescent="0.2">
      <c r="B174" t="s">
        <v>68</v>
      </c>
    </row>
    <row r="175" spans="1:22" x14ac:dyDescent="0.2">
      <c r="B175" t="s">
        <v>69</v>
      </c>
      <c r="E175">
        <v>1</v>
      </c>
      <c r="F175">
        <v>6</v>
      </c>
      <c r="G175">
        <f>G172*POWER(10,E175*1/F175)</f>
        <v>14.677992676220697</v>
      </c>
    </row>
    <row r="176" spans="1:22" x14ac:dyDescent="0.2">
      <c r="B176" t="s">
        <v>77</v>
      </c>
      <c r="E176">
        <v>1</v>
      </c>
      <c r="F176">
        <v>4</v>
      </c>
      <c r="G176">
        <f>G179*POWER(10,E176*-1/F176)</f>
        <v>5.6234132519034911E-2</v>
      </c>
    </row>
    <row r="177" spans="1:22" x14ac:dyDescent="0.2">
      <c r="B177" t="s">
        <v>71</v>
      </c>
    </row>
    <row r="178" spans="1:22" x14ac:dyDescent="0.2">
      <c r="B178" t="s">
        <v>72</v>
      </c>
    </row>
    <row r="179" spans="1:22" x14ac:dyDescent="0.2">
      <c r="B179" t="s">
        <v>73</v>
      </c>
      <c r="G179">
        <v>0.1</v>
      </c>
    </row>
    <row r="180" spans="1:22" x14ac:dyDescent="0.2">
      <c r="B180" t="s">
        <v>74</v>
      </c>
    </row>
    <row r="181" spans="1:22" x14ac:dyDescent="0.2">
      <c r="B181" t="s">
        <v>75</v>
      </c>
    </row>
    <row r="182" spans="1:22" x14ac:dyDescent="0.2">
      <c r="B182" t="s">
        <v>76</v>
      </c>
      <c r="E182">
        <v>1</v>
      </c>
      <c r="F182">
        <v>4</v>
      </c>
      <c r="G182">
        <f>G179*POWER(10,E182*1/F182)</f>
        <v>0.17782794100389232</v>
      </c>
    </row>
    <row r="183" spans="1:22" ht="18" x14ac:dyDescent="0.25">
      <c r="A183" t="s">
        <v>82</v>
      </c>
      <c r="B183" t="s">
        <v>57</v>
      </c>
      <c r="V183" s="1"/>
    </row>
    <row r="184" spans="1:22" x14ac:dyDescent="0.2">
      <c r="B184" t="s">
        <v>58</v>
      </c>
    </row>
    <row r="185" spans="1:22" ht="18" x14ac:dyDescent="0.25">
      <c r="B185" t="s">
        <v>59</v>
      </c>
      <c r="H185" s="1" t="s">
        <v>40</v>
      </c>
      <c r="I185" s="1" t="s">
        <v>41</v>
      </c>
    </row>
    <row r="186" spans="1:22" ht="18" x14ac:dyDescent="0.25">
      <c r="B186" t="s">
        <v>60</v>
      </c>
      <c r="H186" s="1" t="s">
        <v>42</v>
      </c>
      <c r="I186" s="1" t="s">
        <v>43</v>
      </c>
    </row>
    <row r="187" spans="1:22" ht="18" x14ac:dyDescent="0.25">
      <c r="B187" t="s">
        <v>61</v>
      </c>
      <c r="H187" s="1" t="s">
        <v>44</v>
      </c>
      <c r="I187" s="1" t="s">
        <v>45</v>
      </c>
    </row>
    <row r="188" spans="1:22" ht="18" x14ac:dyDescent="0.25">
      <c r="B188" t="s">
        <v>62</v>
      </c>
      <c r="H188" s="1" t="s">
        <v>46</v>
      </c>
      <c r="I188" s="1" t="s">
        <v>47</v>
      </c>
    </row>
    <row r="189" spans="1:22" x14ac:dyDescent="0.2">
      <c r="B189" t="s">
        <v>63</v>
      </c>
    </row>
    <row r="190" spans="1:22" x14ac:dyDescent="0.2">
      <c r="B190" t="s">
        <v>70</v>
      </c>
    </row>
    <row r="191" spans="1:22" x14ac:dyDescent="0.2">
      <c r="B191" t="s">
        <v>64</v>
      </c>
    </row>
    <row r="192" spans="1:22" x14ac:dyDescent="0.2">
      <c r="B192" t="s">
        <v>65</v>
      </c>
    </row>
    <row r="193" spans="2:2" x14ac:dyDescent="0.2">
      <c r="B193" t="s">
        <v>66</v>
      </c>
    </row>
    <row r="194" spans="2:2" x14ac:dyDescent="0.2">
      <c r="B194" t="s">
        <v>67</v>
      </c>
    </row>
    <row r="195" spans="2:2" x14ac:dyDescent="0.2">
      <c r="B195" t="s">
        <v>68</v>
      </c>
    </row>
    <row r="196" spans="2:2" x14ac:dyDescent="0.2">
      <c r="B196" t="s">
        <v>69</v>
      </c>
    </row>
    <row r="197" spans="2:2" x14ac:dyDescent="0.2">
      <c r="B197" t="s">
        <v>77</v>
      </c>
    </row>
    <row r="198" spans="2:2" x14ac:dyDescent="0.2">
      <c r="B198" t="s">
        <v>71</v>
      </c>
    </row>
    <row r="199" spans="2:2" x14ac:dyDescent="0.2">
      <c r="B199" t="s">
        <v>72</v>
      </c>
    </row>
    <row r="200" spans="2:2" x14ac:dyDescent="0.2">
      <c r="B200" t="s">
        <v>73</v>
      </c>
    </row>
    <row r="201" spans="2:2" x14ac:dyDescent="0.2">
      <c r="B201" t="s">
        <v>74</v>
      </c>
    </row>
    <row r="202" spans="2:2" x14ac:dyDescent="0.2">
      <c r="B202" t="s">
        <v>75</v>
      </c>
    </row>
    <row r="203" spans="2:2" x14ac:dyDescent="0.2">
      <c r="B203" t="s">
        <v>76</v>
      </c>
    </row>
  </sheetData>
  <sheetProtection sheet="1" objects="1" scenarios="1"/>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
  <sheetViews>
    <sheetView showGridLines="0" showRowColHeaders="0" tabSelected="1" zoomScaleNormal="100" workbookViewId="0">
      <selection activeCell="T21" sqref="T21"/>
    </sheetView>
  </sheetViews>
  <sheetFormatPr defaultRowHeight="12.75" x14ac:dyDescent="0.2"/>
  <sheetData/>
  <sheetProtection sheet="1" objects="1" scenarios="1" selectLockedCells="1" selectUnlockedCells="1"/>
  <phoneticPr fontId="18" type="noConversion"/>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8195" r:id="rId4" name="Biorisk">
          <controlPr autoLine="0" r:id="rId5">
            <anchor moveWithCells="1">
              <from>
                <xdr:col>2</xdr:col>
                <xdr:colOff>0</xdr:colOff>
                <xdr:row>26</xdr:row>
                <xdr:rowOff>76200</xdr:rowOff>
              </from>
              <to>
                <xdr:col>4</xdr:col>
                <xdr:colOff>419100</xdr:colOff>
                <xdr:row>29</xdr:row>
                <xdr:rowOff>123825</xdr:rowOff>
              </to>
            </anchor>
          </controlPr>
        </control>
      </mc:Choice>
      <mc:Fallback>
        <control shapeId="8195" r:id="rId4" name="Biorisk"/>
      </mc:Fallback>
    </mc:AlternateContent>
    <mc:AlternateContent xmlns:mc="http://schemas.openxmlformats.org/markup-compatibility/2006">
      <mc:Choice Requires="x14">
        <control shapeId="8194" r:id="rId6" name="Radrisk">
          <controlPr defaultSize="0" autoLine="0" r:id="rId7">
            <anchor moveWithCells="1">
              <from>
                <xdr:col>2</xdr:col>
                <xdr:colOff>19050</xdr:colOff>
                <xdr:row>20</xdr:row>
                <xdr:rowOff>47625</xdr:rowOff>
              </from>
              <to>
                <xdr:col>4</xdr:col>
                <xdr:colOff>447675</xdr:colOff>
                <xdr:row>23</xdr:row>
                <xdr:rowOff>123825</xdr:rowOff>
              </to>
            </anchor>
          </controlPr>
        </control>
      </mc:Choice>
      <mc:Fallback>
        <control shapeId="8194" r:id="rId6" name="Radrisk"/>
      </mc:Fallback>
    </mc:AlternateContent>
    <mc:AlternateContent xmlns:mc="http://schemas.openxmlformats.org/markup-compatibility/2006">
      <mc:Choice Requires="x14">
        <control shapeId="8193" r:id="rId8" name="CWARisk">
          <controlPr autoLine="0" r:id="rId9">
            <anchor moveWithCells="1">
              <from>
                <xdr:col>1</xdr:col>
                <xdr:colOff>600075</xdr:colOff>
                <xdr:row>14</xdr:row>
                <xdr:rowOff>123825</xdr:rowOff>
              </from>
              <to>
                <xdr:col>4</xdr:col>
                <xdr:colOff>495300</xdr:colOff>
                <xdr:row>17</xdr:row>
                <xdr:rowOff>142875</xdr:rowOff>
              </to>
            </anchor>
          </controlPr>
        </control>
      </mc:Choice>
      <mc:Fallback>
        <control shapeId="8193" r:id="rId8" name="CWARisk"/>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I66"/>
  <sheetViews>
    <sheetView showGridLines="0" showRowColHeaders="0" workbookViewId="0">
      <selection activeCell="B3" sqref="B3"/>
    </sheetView>
  </sheetViews>
  <sheetFormatPr defaultRowHeight="12.75" x14ac:dyDescent="0.2"/>
  <cols>
    <col min="1" max="1" width="54.7109375" style="199" customWidth="1"/>
    <col min="2" max="2" width="34.7109375" style="199" customWidth="1"/>
    <col min="3" max="3" width="33" style="199" customWidth="1"/>
    <col min="4" max="4" width="30.28515625" style="199" customWidth="1"/>
    <col min="5" max="5" width="17.28515625" style="199" customWidth="1"/>
    <col min="6" max="6" width="16.140625" style="199" customWidth="1"/>
    <col min="7" max="7" width="18.42578125" style="199" customWidth="1"/>
    <col min="8" max="8" width="18.28515625" style="199" customWidth="1"/>
    <col min="9" max="16384" width="9.140625" style="199"/>
  </cols>
  <sheetData>
    <row r="1" spans="1:9" ht="38.25" customHeight="1" x14ac:dyDescent="0.2">
      <c r="A1" s="327" t="s">
        <v>130</v>
      </c>
      <c r="B1" s="213" t="s">
        <v>208</v>
      </c>
      <c r="C1" s="212" t="s">
        <v>266</v>
      </c>
      <c r="D1" s="212" t="s">
        <v>209</v>
      </c>
      <c r="E1" s="237"/>
      <c r="F1" s="237"/>
      <c r="G1" s="237"/>
      <c r="H1" s="214"/>
      <c r="I1" s="214"/>
    </row>
    <row r="2" spans="1:9" ht="24" customHeight="1" thickBot="1" x14ac:dyDescent="0.25">
      <c r="A2" s="215"/>
      <c r="B2" s="216" t="s">
        <v>164</v>
      </c>
      <c r="C2" s="217" t="s">
        <v>210</v>
      </c>
      <c r="D2" s="217" t="s">
        <v>133</v>
      </c>
      <c r="E2" s="237"/>
      <c r="F2" s="237"/>
      <c r="G2" s="237"/>
      <c r="H2" s="214"/>
      <c r="I2" s="214"/>
    </row>
    <row r="3" spans="1:9" ht="42.75" customHeight="1" thickBot="1" x14ac:dyDescent="0.25">
      <c r="A3" s="237"/>
      <c r="B3" s="250">
        <v>60</v>
      </c>
      <c r="C3" s="229">
        <v>9</v>
      </c>
      <c r="D3" s="249">
        <v>240</v>
      </c>
      <c r="E3" s="237"/>
      <c r="F3" s="237"/>
      <c r="G3" s="237"/>
      <c r="H3" s="214"/>
      <c r="I3" s="214"/>
    </row>
    <row r="4" spans="1:9" s="219" customFormat="1" ht="19.5" hidden="1" customHeight="1" thickBot="1" x14ac:dyDescent="0.25">
      <c r="A4" s="239"/>
      <c r="B4" s="251">
        <f>IF(B7,(B3-32)*5/9,B3)</f>
        <v>15.555555555555555</v>
      </c>
      <c r="C4" s="230">
        <f>IF(C7,C3*(LOOKUP(A7, 'Calculations (Toxic Load)'!R2:R12,'Calculations (Toxic Load)'!T2:T12)/24.45*298/(273+B4)),C3)</f>
        <v>61.621672954399955</v>
      </c>
      <c r="D4" s="247"/>
      <c r="E4" s="239"/>
      <c r="F4" s="239"/>
      <c r="G4" s="239"/>
      <c r="H4" s="218"/>
      <c r="I4" s="218"/>
    </row>
    <row r="5" spans="1:9" s="219" customFormat="1" ht="11.25" customHeight="1" x14ac:dyDescent="0.2">
      <c r="A5" s="239"/>
      <c r="B5" s="252"/>
      <c r="C5" s="231"/>
      <c r="D5" s="248"/>
      <c r="E5" s="239"/>
      <c r="F5" s="239"/>
      <c r="G5" s="239"/>
      <c r="H5" s="218"/>
      <c r="I5" s="218"/>
    </row>
    <row r="6" spans="1:9" s="219" customFormat="1" ht="39.75" customHeight="1" thickBot="1" x14ac:dyDescent="0.25">
      <c r="A6" s="239"/>
      <c r="B6" s="253"/>
      <c r="C6" s="232"/>
      <c r="D6" s="248"/>
      <c r="E6" s="239"/>
      <c r="F6" s="239"/>
      <c r="G6" s="239"/>
      <c r="H6" s="218"/>
      <c r="I6" s="218"/>
    </row>
    <row r="7" spans="1:9" x14ac:dyDescent="0.2">
      <c r="A7" s="233">
        <v>1</v>
      </c>
      <c r="B7" s="234" t="b">
        <v>1</v>
      </c>
      <c r="C7" s="234" t="b">
        <v>1</v>
      </c>
      <c r="D7" s="235"/>
      <c r="E7" s="237"/>
      <c r="F7" s="237"/>
      <c r="G7" s="237"/>
      <c r="H7" s="214"/>
      <c r="I7" s="214"/>
    </row>
    <row r="8" spans="1:9" x14ac:dyDescent="0.2">
      <c r="A8" s="233">
        <v>1</v>
      </c>
      <c r="B8" s="236">
        <v>8</v>
      </c>
      <c r="C8" s="237"/>
      <c r="D8" s="237"/>
      <c r="E8" s="237"/>
      <c r="F8" s="240"/>
      <c r="G8" s="237"/>
      <c r="H8" s="214"/>
      <c r="I8" s="214"/>
    </row>
    <row r="9" spans="1:9" ht="13.5" thickBot="1" x14ac:dyDescent="0.25">
      <c r="A9" s="238"/>
      <c r="B9" s="237"/>
      <c r="C9" s="237"/>
      <c r="D9" s="237"/>
      <c r="E9" s="237"/>
      <c r="F9" s="237"/>
      <c r="G9" s="237"/>
      <c r="H9" s="214"/>
      <c r="I9" s="214"/>
    </row>
    <row r="10" spans="1:9" x14ac:dyDescent="0.2">
      <c r="A10" s="330" t="s">
        <v>275</v>
      </c>
      <c r="B10" s="331"/>
      <c r="C10" s="237"/>
      <c r="D10" s="237"/>
      <c r="E10" s="237"/>
      <c r="F10" s="237"/>
      <c r="G10" s="237"/>
      <c r="H10" s="214"/>
      <c r="I10" s="214"/>
    </row>
    <row r="11" spans="1:9" ht="13.5" thickBot="1" x14ac:dyDescent="0.25">
      <c r="A11" s="332"/>
      <c r="B11" s="333"/>
      <c r="C11" s="237"/>
      <c r="D11" s="237"/>
      <c r="E11" s="237"/>
      <c r="F11" s="237"/>
      <c r="G11" s="237"/>
      <c r="H11" s="214"/>
      <c r="I11" s="214"/>
    </row>
    <row r="12" spans="1:9" ht="25.5" x14ac:dyDescent="0.2">
      <c r="A12" s="328" t="s">
        <v>283</v>
      </c>
      <c r="B12" s="220" t="s">
        <v>274</v>
      </c>
      <c r="C12" s="240"/>
      <c r="D12" s="240"/>
      <c r="E12" s="237"/>
      <c r="F12" s="237"/>
      <c r="G12" s="237"/>
      <c r="H12" s="214"/>
      <c r="I12" s="214"/>
    </row>
    <row r="13" spans="1:9" ht="15" thickBot="1" x14ac:dyDescent="0.25">
      <c r="A13" s="215"/>
      <c r="B13" s="325" t="s">
        <v>623</v>
      </c>
      <c r="C13" s="237"/>
      <c r="D13" s="237"/>
      <c r="E13" s="237"/>
      <c r="F13" s="237"/>
      <c r="G13" s="237"/>
      <c r="H13" s="214"/>
      <c r="I13" s="214"/>
    </row>
    <row r="14" spans="1:9" s="200" customFormat="1" ht="27" thickBot="1" x14ac:dyDescent="0.25">
      <c r="A14" s="245"/>
      <c r="B14" s="282">
        <f>VLOOKUP(A8,'Calculations (Toxic Load)'!W3:AH42,(A7+1))</f>
        <v>5.0000000000000001E-3</v>
      </c>
      <c r="C14" s="241"/>
      <c r="D14" s="241"/>
      <c r="E14" s="241"/>
      <c r="F14" s="237"/>
      <c r="G14" s="237"/>
      <c r="H14" s="221"/>
      <c r="I14" s="221"/>
    </row>
    <row r="15" spans="1:9" x14ac:dyDescent="0.2">
      <c r="A15" s="245"/>
      <c r="B15" s="254"/>
      <c r="C15" s="237"/>
      <c r="D15" s="237"/>
      <c r="E15" s="237"/>
      <c r="F15" s="237"/>
      <c r="G15" s="237"/>
      <c r="H15" s="214"/>
      <c r="I15" s="214"/>
    </row>
    <row r="16" spans="1:9" s="200" customFormat="1" x14ac:dyDescent="0.2">
      <c r="A16" s="246"/>
      <c r="B16" s="255"/>
      <c r="C16" s="239"/>
      <c r="D16" s="241"/>
      <c r="E16" s="241"/>
      <c r="F16" s="237"/>
      <c r="G16" s="237"/>
      <c r="H16" s="221"/>
      <c r="I16" s="221"/>
    </row>
    <row r="17" spans="1:9" x14ac:dyDescent="0.2">
      <c r="A17" s="237"/>
      <c r="B17" s="255"/>
      <c r="C17" s="237"/>
      <c r="D17" s="237"/>
      <c r="E17" s="237"/>
      <c r="F17" s="237"/>
      <c r="G17" s="237"/>
      <c r="H17" s="214"/>
      <c r="I17" s="214"/>
    </row>
    <row r="18" spans="1:9" x14ac:dyDescent="0.2">
      <c r="A18" s="237"/>
      <c r="B18" s="255"/>
      <c r="C18" s="237"/>
      <c r="D18" s="237"/>
      <c r="E18" s="237"/>
      <c r="F18" s="237"/>
      <c r="G18" s="237"/>
      <c r="H18" s="214"/>
      <c r="I18" s="214"/>
    </row>
    <row r="19" spans="1:9" x14ac:dyDescent="0.2">
      <c r="A19" s="237"/>
      <c r="B19" s="255"/>
      <c r="C19" s="237"/>
      <c r="D19" s="237"/>
      <c r="E19" s="237"/>
      <c r="F19" s="237"/>
      <c r="G19" s="237"/>
      <c r="H19" s="214"/>
      <c r="I19" s="214"/>
    </row>
    <row r="20" spans="1:9" x14ac:dyDescent="0.2">
      <c r="A20" s="237"/>
      <c r="B20" s="255"/>
      <c r="C20" s="237"/>
      <c r="D20" s="237"/>
      <c r="E20" s="237"/>
      <c r="F20" s="237"/>
      <c r="G20" s="237"/>
      <c r="H20" s="214"/>
      <c r="I20" s="214"/>
    </row>
    <row r="21" spans="1:9" x14ac:dyDescent="0.2">
      <c r="A21" s="237"/>
      <c r="B21" s="255"/>
      <c r="C21" s="237"/>
      <c r="D21" s="237"/>
      <c r="E21" s="237"/>
      <c r="F21" s="237"/>
      <c r="G21" s="237"/>
      <c r="H21" s="214"/>
      <c r="I21" s="214"/>
    </row>
    <row r="22" spans="1:9" x14ac:dyDescent="0.2">
      <c r="A22" s="237"/>
      <c r="B22" s="255"/>
      <c r="C22" s="237"/>
      <c r="D22" s="237"/>
      <c r="E22" s="237"/>
      <c r="F22" s="237"/>
      <c r="G22" s="237"/>
      <c r="H22" s="214"/>
      <c r="I22" s="214"/>
    </row>
    <row r="23" spans="1:9" x14ac:dyDescent="0.2">
      <c r="A23" s="238"/>
      <c r="B23" s="283"/>
      <c r="C23" s="237"/>
      <c r="D23" s="237"/>
      <c r="E23" s="237"/>
      <c r="F23" s="237"/>
      <c r="G23" s="237"/>
      <c r="H23" s="214"/>
      <c r="I23" s="214"/>
    </row>
    <row r="24" spans="1:9" x14ac:dyDescent="0.2">
      <c r="A24" s="238"/>
      <c r="B24" s="283"/>
      <c r="C24" s="237"/>
      <c r="D24" s="237"/>
      <c r="E24" s="237"/>
      <c r="F24" s="237"/>
      <c r="G24" s="237"/>
      <c r="H24" s="214"/>
      <c r="I24" s="214"/>
    </row>
    <row r="25" spans="1:9" ht="13.5" thickBot="1" x14ac:dyDescent="0.25">
      <c r="A25" s="242"/>
      <c r="B25" s="256"/>
      <c r="C25" s="237"/>
      <c r="D25" s="237"/>
      <c r="E25" s="237"/>
      <c r="F25" s="237"/>
      <c r="G25" s="237"/>
      <c r="H25" s="214"/>
      <c r="I25" s="214"/>
    </row>
    <row r="26" spans="1:9" x14ac:dyDescent="0.2">
      <c r="A26" s="243"/>
      <c r="B26" s="243"/>
      <c r="C26" s="237"/>
      <c r="D26" s="237"/>
      <c r="E26" s="237"/>
      <c r="F26" s="237"/>
      <c r="G26" s="237"/>
      <c r="H26" s="214"/>
      <c r="I26" s="214"/>
    </row>
    <row r="27" spans="1:9" x14ac:dyDescent="0.2">
      <c r="A27" s="238"/>
      <c r="B27" s="238"/>
      <c r="C27" s="237"/>
      <c r="D27" s="237"/>
      <c r="E27" s="237"/>
      <c r="F27" s="237"/>
      <c r="G27" s="237"/>
      <c r="H27" s="214"/>
      <c r="I27" s="214"/>
    </row>
    <row r="28" spans="1:9" ht="25.5" customHeight="1" x14ac:dyDescent="0.2">
      <c r="A28" s="238"/>
      <c r="B28" s="238"/>
      <c r="C28" s="237"/>
      <c r="D28" s="237"/>
      <c r="E28" s="237"/>
      <c r="F28" s="237"/>
      <c r="G28" s="237"/>
      <c r="H28" s="214"/>
      <c r="I28" s="214"/>
    </row>
    <row r="29" spans="1:9" x14ac:dyDescent="0.2">
      <c r="A29" s="238"/>
      <c r="B29" s="238"/>
      <c r="C29" s="237"/>
      <c r="D29" s="237"/>
      <c r="E29" s="238"/>
      <c r="F29" s="237"/>
      <c r="G29" s="237"/>
    </row>
    <row r="30" spans="1:9" ht="25.5" customHeight="1" x14ac:dyDescent="0.2">
      <c r="A30" s="238"/>
      <c r="B30" s="238"/>
      <c r="C30" s="237"/>
      <c r="D30" s="237"/>
      <c r="E30" s="238"/>
      <c r="F30" s="237"/>
      <c r="G30" s="237"/>
    </row>
    <row r="31" spans="1:9" x14ac:dyDescent="0.2">
      <c r="A31" s="238"/>
      <c r="B31" s="238"/>
      <c r="C31" s="238"/>
      <c r="D31" s="238"/>
      <c r="E31" s="238"/>
      <c r="F31" s="237"/>
      <c r="G31" s="237"/>
    </row>
    <row r="32" spans="1:9" x14ac:dyDescent="0.2">
      <c r="A32" s="238"/>
      <c r="B32" s="238"/>
      <c r="C32" s="238"/>
      <c r="D32" s="238"/>
      <c r="E32" s="238"/>
      <c r="F32" s="237"/>
      <c r="G32" s="237"/>
    </row>
    <row r="33" spans="1:7" x14ac:dyDescent="0.2">
      <c r="A33" s="238"/>
      <c r="B33" s="238"/>
      <c r="C33" s="238"/>
      <c r="D33" s="238"/>
      <c r="E33" s="238"/>
      <c r="F33" s="237"/>
      <c r="G33" s="237"/>
    </row>
    <row r="34" spans="1:7" x14ac:dyDescent="0.2">
      <c r="A34" s="238"/>
      <c r="B34" s="238"/>
      <c r="C34" s="238"/>
      <c r="D34" s="238"/>
      <c r="E34" s="238"/>
      <c r="F34" s="237"/>
      <c r="G34" s="237"/>
    </row>
    <row r="35" spans="1:7" x14ac:dyDescent="0.2">
      <c r="A35" s="238"/>
      <c r="B35" s="238"/>
      <c r="C35" s="238"/>
      <c r="D35" s="238"/>
      <c r="E35" s="238"/>
      <c r="F35" s="237"/>
      <c r="G35" s="237"/>
    </row>
    <row r="36" spans="1:7" x14ac:dyDescent="0.2">
      <c r="A36" s="238"/>
      <c r="B36" s="238"/>
      <c r="C36" s="238"/>
      <c r="D36" s="238"/>
      <c r="E36" s="238"/>
      <c r="F36" s="237"/>
      <c r="G36" s="237"/>
    </row>
    <row r="37" spans="1:7" x14ac:dyDescent="0.2">
      <c r="A37" s="238"/>
      <c r="B37" s="238"/>
      <c r="C37" s="238"/>
      <c r="D37" s="238"/>
      <c r="E37" s="238"/>
      <c r="F37" s="237"/>
      <c r="G37" s="237"/>
    </row>
    <row r="38" spans="1:7" x14ac:dyDescent="0.2">
      <c r="A38" s="238"/>
      <c r="B38" s="238"/>
      <c r="C38" s="238"/>
      <c r="D38" s="238"/>
      <c r="E38" s="238"/>
      <c r="F38" s="237"/>
      <c r="G38" s="237"/>
    </row>
    <row r="39" spans="1:7" s="200" customFormat="1" x14ac:dyDescent="0.2">
      <c r="A39" s="244"/>
      <c r="B39" s="244"/>
      <c r="C39" s="244"/>
      <c r="D39" s="244"/>
      <c r="E39" s="244"/>
      <c r="F39" s="237"/>
      <c r="G39" s="237"/>
    </row>
    <row r="40" spans="1:7" x14ac:dyDescent="0.2">
      <c r="A40" s="238"/>
      <c r="B40" s="238"/>
      <c r="C40" s="238"/>
      <c r="D40" s="238"/>
      <c r="E40" s="238"/>
      <c r="F40" s="237"/>
      <c r="G40" s="237"/>
    </row>
    <row r="41" spans="1:7" s="200" customFormat="1" ht="25.5" customHeight="1" x14ac:dyDescent="0.2">
      <c r="A41" s="244"/>
      <c r="B41" s="244"/>
      <c r="C41" s="244"/>
      <c r="D41" s="244"/>
      <c r="E41" s="244"/>
      <c r="F41" s="237"/>
      <c r="G41" s="237"/>
    </row>
    <row r="42" spans="1:7" x14ac:dyDescent="0.2">
      <c r="A42" s="237"/>
      <c r="B42" s="237"/>
      <c r="C42" s="237"/>
      <c r="D42" s="237"/>
      <c r="E42" s="237"/>
      <c r="F42" s="237"/>
      <c r="G42" s="237"/>
    </row>
    <row r="43" spans="1:7" ht="25.5" customHeight="1" x14ac:dyDescent="0.2"/>
    <row r="62" s="200" customFormat="1" x14ac:dyDescent="0.2"/>
    <row r="64" s="200" customFormat="1" ht="25.5" customHeight="1" x14ac:dyDescent="0.2"/>
    <row r="66" ht="25.5" customHeight="1" x14ac:dyDescent="0.2"/>
  </sheetData>
  <sheetProtection selectLockedCells="1"/>
  <mergeCells count="1">
    <mergeCell ref="A10:B11"/>
  </mergeCells>
  <phoneticPr fontId="0" type="noConversion"/>
  <conditionalFormatting sqref="H18:IV21 J12:IV15 J17:IV17 H16:IV16">
    <cfRule type="cellIs" priority="1" stopIfTrue="1" operator="greaterThanOrEqual">
      <formula>6</formula>
    </cfRule>
  </conditionalFormatting>
  <conditionalFormatting sqref="C12:E12">
    <cfRule type="cellIs" dxfId="63" priority="2" stopIfTrue="1" operator="equal">
      <formula>"&gt;84%"</formula>
    </cfRule>
  </conditionalFormatting>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3098" r:id="rId4" name="CommandButton1">
          <controlPr defaultSize="0" autoLine="0" r:id="rId5">
            <anchor moveWithCells="1">
              <from>
                <xdr:col>1</xdr:col>
                <xdr:colOff>371475</xdr:colOff>
                <xdr:row>15</xdr:row>
                <xdr:rowOff>76200</xdr:rowOff>
              </from>
              <to>
                <xdr:col>1</xdr:col>
                <xdr:colOff>1924050</xdr:colOff>
                <xdr:row>19</xdr:row>
                <xdr:rowOff>104775</xdr:rowOff>
              </to>
            </anchor>
          </controlPr>
        </control>
      </mc:Choice>
      <mc:Fallback>
        <control shapeId="3098" r:id="rId4" name="CommandButton1"/>
      </mc:Fallback>
    </mc:AlternateContent>
    <mc:AlternateContent xmlns:mc="http://schemas.openxmlformats.org/markup-compatibility/2006">
      <mc:Choice Requires="x14">
        <control shapeId="3083" r:id="rId6" name="ReturnMain">
          <controlPr autoLine="0" autoPict="0" r:id="rId7">
            <anchor moveWithCells="1">
              <from>
                <xdr:col>2</xdr:col>
                <xdr:colOff>2095500</xdr:colOff>
                <xdr:row>13</xdr:row>
                <xdr:rowOff>323850</xdr:rowOff>
              </from>
              <to>
                <xdr:col>3</xdr:col>
                <xdr:colOff>1323975</xdr:colOff>
                <xdr:row>16</xdr:row>
                <xdr:rowOff>152400</xdr:rowOff>
              </to>
            </anchor>
          </controlPr>
        </control>
      </mc:Choice>
      <mc:Fallback>
        <control shapeId="3083" r:id="rId6" name="ReturnMain"/>
      </mc:Fallback>
    </mc:AlternateContent>
    <mc:AlternateContent xmlns:mc="http://schemas.openxmlformats.org/markup-compatibility/2006">
      <mc:Choice Requires="x14">
        <control shapeId="3082" r:id="rId8" name="CalcRisk">
          <controlPr autoLine="0" autoPict="0" r:id="rId9">
            <anchor moveWithCells="1">
              <from>
                <xdr:col>2</xdr:col>
                <xdr:colOff>2143125</xdr:colOff>
                <xdr:row>11</xdr:row>
                <xdr:rowOff>152400</xdr:rowOff>
              </from>
              <to>
                <xdr:col>3</xdr:col>
                <xdr:colOff>1323975</xdr:colOff>
                <xdr:row>13</xdr:row>
                <xdr:rowOff>171450</xdr:rowOff>
              </to>
            </anchor>
          </controlPr>
        </control>
      </mc:Choice>
      <mc:Fallback>
        <control shapeId="3082" r:id="rId8" name="CalcRisk"/>
      </mc:Fallback>
    </mc:AlternateContent>
    <mc:AlternateContent xmlns:mc="http://schemas.openxmlformats.org/markup-compatibility/2006">
      <mc:Choice Requires="x14">
        <control shapeId="3073" r:id="rId10" name="List Box 1">
          <controlPr locked="0" defaultSize="0" autoLine="0" autoPict="0" macro="[0]!MacroGA1">
            <anchor moveWithCells="1">
              <from>
                <xdr:col>0</xdr:col>
                <xdr:colOff>47625</xdr:colOff>
                <xdr:row>2</xdr:row>
                <xdr:rowOff>0</xdr:rowOff>
              </from>
              <to>
                <xdr:col>0</xdr:col>
                <xdr:colOff>3638550</xdr:colOff>
                <xdr:row>5</xdr:row>
                <xdr:rowOff>495300</xdr:rowOff>
              </to>
            </anchor>
          </controlPr>
        </control>
      </mc:Choice>
    </mc:AlternateContent>
    <mc:AlternateContent xmlns:mc="http://schemas.openxmlformats.org/markup-compatibility/2006">
      <mc:Choice Requires="x14">
        <control shapeId="3084" r:id="rId11" name="Check Box 12">
          <controlPr locked="0" defaultSize="0" autoFill="0" autoLine="0" autoPict="0">
            <anchor moveWithCells="1">
              <from>
                <xdr:col>1</xdr:col>
                <xdr:colOff>676275</xdr:colOff>
                <xdr:row>4</xdr:row>
                <xdr:rowOff>95250</xdr:rowOff>
              </from>
              <to>
                <xdr:col>1</xdr:col>
                <xdr:colOff>2085975</xdr:colOff>
                <xdr:row>5</xdr:row>
                <xdr:rowOff>409575</xdr:rowOff>
              </to>
            </anchor>
          </controlPr>
        </control>
      </mc:Choice>
    </mc:AlternateContent>
    <mc:AlternateContent xmlns:mc="http://schemas.openxmlformats.org/markup-compatibility/2006">
      <mc:Choice Requires="x14">
        <control shapeId="3085" r:id="rId12" name="Check Box 13">
          <controlPr locked="0" defaultSize="0" autoFill="0" autoLine="0" autoPict="0">
            <anchor moveWithCells="1">
              <from>
                <xdr:col>2</xdr:col>
                <xdr:colOff>542925</xdr:colOff>
                <xdr:row>4</xdr:row>
                <xdr:rowOff>76200</xdr:rowOff>
              </from>
              <to>
                <xdr:col>2</xdr:col>
                <xdr:colOff>1952625</xdr:colOff>
                <xdr:row>5</xdr:row>
                <xdr:rowOff>390525</xdr:rowOff>
              </to>
            </anchor>
          </controlPr>
        </control>
      </mc:Choice>
    </mc:AlternateContent>
    <mc:AlternateContent xmlns:mc="http://schemas.openxmlformats.org/markup-compatibility/2006">
      <mc:Choice Requires="x14">
        <control shapeId="3095" r:id="rId13" name="List Box 23">
          <controlPr locked="0" defaultSize="0" autoLine="0" autoPict="0" macro="[0]!MacroGA1">
            <anchor moveWithCells="1">
              <from>
                <xdr:col>0</xdr:col>
                <xdr:colOff>0</xdr:colOff>
                <xdr:row>13</xdr:row>
                <xdr:rowOff>9525</xdr:rowOff>
              </from>
              <to>
                <xdr:col>1</xdr:col>
                <xdr:colOff>28575</xdr:colOff>
                <xdr:row>25</xdr:row>
                <xdr:rowOff>0</xdr:rowOff>
              </to>
            </anchor>
          </controlPr>
        </control>
      </mc:Choice>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S41"/>
  <sheetViews>
    <sheetView showGridLines="0" showRowColHeaders="0" workbookViewId="0">
      <selection activeCell="B26" sqref="B26:B27"/>
    </sheetView>
  </sheetViews>
  <sheetFormatPr defaultRowHeight="12.75" x14ac:dyDescent="0.2"/>
  <cols>
    <col min="1" max="1" width="34.5703125" style="84" customWidth="1"/>
    <col min="2" max="2" width="16.28515625" customWidth="1"/>
    <col min="3" max="3" width="18.42578125" customWidth="1"/>
    <col min="4" max="4" width="14.28515625" customWidth="1"/>
    <col min="5" max="5" width="2.7109375" customWidth="1"/>
    <col min="6" max="6" width="15.7109375" customWidth="1"/>
    <col min="7" max="7" width="19.42578125" customWidth="1"/>
    <col min="8" max="8" width="16" customWidth="1"/>
    <col min="9" max="9" width="2.140625" customWidth="1"/>
    <col min="10" max="10" width="1.7109375" customWidth="1"/>
  </cols>
  <sheetData>
    <row r="1" spans="1:19" ht="27.75" customHeight="1" x14ac:dyDescent="0.2">
      <c r="A1" s="353" t="str">
        <f>IF('CWA Entry'!A7&lt;=5,CONCATENATE('Calculations (Toxic Load)'!G2," - Risk Assessment of Nerve Agent Exposure and Effect"),"Risk Assessment of Nerve Agent Exposure and Effect")</f>
        <v>Tabun (GA) - Risk Assessment of Nerve Agent Exposure and Effect</v>
      </c>
      <c r="B1" s="354"/>
      <c r="C1" s="354"/>
      <c r="D1" s="355"/>
      <c r="E1" s="355"/>
      <c r="F1" s="355"/>
      <c r="G1" s="355"/>
      <c r="H1" s="355"/>
      <c r="I1" s="355"/>
      <c r="J1" s="356"/>
      <c r="K1" s="257"/>
      <c r="L1" s="257"/>
      <c r="M1" s="257"/>
      <c r="N1" s="257"/>
      <c r="O1" s="257"/>
      <c r="P1" s="257"/>
      <c r="Q1" s="257"/>
      <c r="R1" s="257"/>
      <c r="S1" s="257"/>
    </row>
    <row r="2" spans="1:19" ht="7.5" customHeight="1" x14ac:dyDescent="0.2">
      <c r="A2" s="204"/>
      <c r="B2" s="205"/>
      <c r="C2" s="205"/>
      <c r="D2" s="81"/>
      <c r="E2" s="81"/>
      <c r="F2" s="81"/>
      <c r="G2" s="81"/>
      <c r="H2" s="81"/>
      <c r="I2" s="81"/>
      <c r="J2" s="79"/>
      <c r="K2" s="257"/>
      <c r="L2" s="257"/>
      <c r="M2" s="257"/>
      <c r="N2" s="257"/>
      <c r="O2" s="257"/>
      <c r="P2" s="257"/>
      <c r="Q2" s="257"/>
      <c r="R2" s="257"/>
      <c r="S2" s="257"/>
    </row>
    <row r="3" spans="1:19" s="88" customFormat="1" ht="26.25" thickBot="1" x14ac:dyDescent="0.4">
      <c r="A3" s="346" t="s">
        <v>202</v>
      </c>
      <c r="B3" s="347"/>
      <c r="C3" s="347"/>
      <c r="D3" s="347"/>
      <c r="E3" s="89"/>
      <c r="F3" s="348" t="s">
        <v>203</v>
      </c>
      <c r="G3" s="348"/>
      <c r="H3" s="348"/>
      <c r="I3" s="89"/>
      <c r="J3" s="90"/>
      <c r="K3" s="262"/>
      <c r="L3" s="262"/>
      <c r="M3" s="262"/>
      <c r="N3" s="262"/>
      <c r="O3" s="262"/>
      <c r="P3" s="262"/>
      <c r="Q3" s="262"/>
      <c r="R3" s="262"/>
      <c r="S3" s="262"/>
    </row>
    <row r="4" spans="1:19" ht="26.25" thickBot="1" x14ac:dyDescent="0.25">
      <c r="A4" s="147" t="s">
        <v>160</v>
      </c>
      <c r="B4" s="144" t="s">
        <v>222</v>
      </c>
      <c r="C4" s="144" t="s">
        <v>97</v>
      </c>
      <c r="D4" s="144" t="s">
        <v>220</v>
      </c>
      <c r="E4" s="73"/>
      <c r="F4" s="144" t="s">
        <v>193</v>
      </c>
      <c r="G4" s="144" t="s">
        <v>97</v>
      </c>
      <c r="H4" s="144" t="s">
        <v>219</v>
      </c>
      <c r="I4" s="73"/>
      <c r="J4" s="71"/>
      <c r="K4" s="257"/>
      <c r="L4" s="257"/>
      <c r="M4" s="257"/>
      <c r="N4" s="257"/>
      <c r="O4" s="257"/>
      <c r="P4" s="257"/>
      <c r="Q4" s="257"/>
      <c r="R4" s="257"/>
      <c r="S4" s="257"/>
    </row>
    <row r="5" spans="1:19" ht="17.25" customHeight="1" thickBot="1" x14ac:dyDescent="0.25">
      <c r="A5" s="280" t="s">
        <v>126</v>
      </c>
      <c r="B5" s="281" t="str">
        <f>IF('CWA Entry'!A7=1,'Calculations (Toxic Load)'!N5,IF('CWA Entry'!A7=2,'Calculations (Toxic Load)'!N10,IF('CWA Entry'!A7=3,'Calculations (Toxic Load)'!N15,IF('CWA Entry'!A7=4,'Calculations (Toxic Load)'!N18,IF('CWA Entry'!A7=5,'Calculations (Toxic Load)'!N26,IF('CWA Entry'!A7&gt;=6,"N/A","Error"))))))</f>
        <v>&gt;84%</v>
      </c>
      <c r="C5" s="281" t="str">
        <f>IF('CWA Entry'!A7=1,'Calculations (Toxic Load)'!M4,IF('CWA Entry'!A7=2,'Calculations (Toxic Load)'!M9,IF('CWA Entry'!A7=3,'Calculations (Toxic Load)'!M14,IF('CWA Entry'!A7=4,'Calculations (Toxic Load)'!M17,IF('CWA Entry'!A7=5,'Calculations (Toxic Load)'!M26,IF('CWA Entry'!A7&gt;=6,"N/A","Error"))))))</f>
        <v>&gt;84%</v>
      </c>
      <c r="D5" s="281" t="str">
        <f>IF('CWA Entry'!A7=1,'Calculations (Toxic Load)'!L4,IF('CWA Entry'!A7=2,'Calculations (Toxic Load)'!L9,IF('CWA Entry'!A7=3,'Calculations (Toxic Load)'!L14,IF('CWA Entry'!A7=4,'Calculations (Toxic Load)'!L17,IF('CWA Entry'!A7=5,'Calculations (Toxic Load)'!L26,IF('CWA Entry'!A7&gt;=6,"N/A","Error"))))))</f>
        <v>&gt;84%</v>
      </c>
      <c r="E5" s="72"/>
      <c r="F5" s="281" t="str">
        <f>IF('CWA Entry'!B4&gt;29.4444,"N/A",IF('CWA Entry'!A7=1,'Calculations (Toxic Load)'!N6,IF('CWA Entry'!A7=2,'Calculations (Toxic Load)'!N11,IF('CWA Entry'!A7=3,'Calculations (Toxic Load)'!N20,IF('CWA Entry'!A7=4,'Calculations (Toxic Load)'!N23,IF('CWA Entry'!A7=5,'Calculations (Toxic Load)'!N27,IF('CWA Entry'!A7&gt;=6,"N/A","Error")))))))</f>
        <v>&gt;84%</v>
      </c>
      <c r="G5" s="281" t="str">
        <f>IF('CWA Entry'!B4&gt;29.4444,"N/A",IF('CWA Entry'!A7=1,'Calculations (Toxic Load)'!M6,IF('CWA Entry'!A7=2,'Calculations (Toxic Load)'!M11,IF('CWA Entry'!A7=3,'Calculations (Toxic Load)'!M20,IF('CWA Entry'!A7=4,'Calculations (Toxic Load)'!M23,IF('CWA Entry'!A7=5,'Calculations (Toxic Load)'!M27,IF('CWA Entry'!A7&gt;=6,"N/A","Error")))))))</f>
        <v>&gt;84%</v>
      </c>
      <c r="H5" s="281" t="str">
        <f>IF('CWA Entry'!B4&gt;29.4444,"N/A",IF('CWA Entry'!A7=1,'Calculations (Toxic Load)'!L6,IF('CWA Entry'!A7=2,'Calculations (Toxic Load)'!L11,IF('CWA Entry'!A7=3,'Calculations (Toxic Load)'!L20,IF('CWA Entry'!A7=4,'Calculations (Toxic Load)'!L23,IF('CWA Entry'!A7=5,'Calculations (Toxic Load)'!L27,IF('CWA Entry'!A7&gt;=6,"N/A","Error")))))))</f>
        <v>&gt;84%</v>
      </c>
      <c r="I5" s="72"/>
      <c r="J5" s="70"/>
      <c r="K5" s="257"/>
      <c r="L5" s="257"/>
      <c r="M5" s="257"/>
      <c r="N5" s="257"/>
      <c r="O5" s="257"/>
      <c r="P5" s="257"/>
      <c r="Q5" s="257"/>
      <c r="R5" s="257"/>
      <c r="S5" s="257"/>
    </row>
    <row r="6" spans="1:19" ht="15" customHeight="1" x14ac:dyDescent="0.2">
      <c r="A6" s="349" t="s">
        <v>488</v>
      </c>
      <c r="B6" s="76" t="str">
        <f>IF(B5="&lt;16%","TH16 Dose",IF(B5="&gt;16%&lt;30%","TH30 Dose",IF(B5="&gt;30%&lt;40%","TH40 Dose",IF(B5="&gt;40%&lt;50%","TH50 Dose",IF(B5="&gt;50%&lt;60%","TH60 Dose",IF(B5="&gt;60%&lt;70%","TH70 Dose",IF(OR(B5="&gt;70%&lt;84%",B5="&gt;84%"),"TH84 Dose","N/A")))))))</f>
        <v>TH84 Dose</v>
      </c>
      <c r="C6" s="76" t="str">
        <f>IF(C5="&lt;16%","EC16 Dose",IF(C5="&gt;16%&lt;30%","EC30 Dose",IF(C5="&gt;30%&lt;40%","EC40 Dose",IF(C5="&gt;40%&lt;50%","EC50 Dose",IF(C5="&gt;50%&lt;60%","EC60 Dose",IF(C5="&gt;60%&lt;70%","EC70 Dose",IF(OR(C5="&gt;70%&lt;84%",C5="&gt;84%"),"EC84 Dose","N/A")))))))</f>
        <v>EC84 Dose</v>
      </c>
      <c r="D6" s="76" t="str">
        <f>IF(D5="&lt;16%","LC16 Dose",IF(D5="&gt;16%&lt;30%","LC30 Dose",IF(D5="&gt;30%&lt;40%","LC40 Dose",IF(D5="&gt;40%&lt;50%","LC50 Dose",IF(D5="&gt;50%&lt;60%","LC60 Dose",IF(D5="&gt;60%&lt;70%","LC70 Dose",IF(OR(D5="&gt;70%&lt;84%",D5="&gt;84%"),"LC84 Dose","N/A")))))))</f>
        <v>LC84 Dose</v>
      </c>
      <c r="E6" s="73"/>
      <c r="F6" s="76" t="str">
        <f>IF(F5="&lt;16%","TH16 Dose",IF(F5="&gt;16%&lt;30%","TH30 Dose",IF(F5="&gt;30%&lt;40%","TH40 Dose",IF(F5="&gt;40%&lt;50%","TH50 Dose",IF(F5="&gt;50%&lt;60%","TH60 Dose",IF(F5="&gt;60%&lt;70%","TH70 Dose",IF(OR(F5="&gt;70%&lt;84%",F5="&gt;84%"),"TH84 Dose","N/A")))))))</f>
        <v>TH84 Dose</v>
      </c>
      <c r="G6" s="76" t="str">
        <f>IF(G5="&lt;16%","EC16 Dose",IF(G5="&gt;16%&lt;30%","EC30 Dose",IF(G5="&gt;30%&lt;40%","EC40 Dose",IF(G5="&gt;40%&lt;50%","EC50 Dose",IF(G5="&gt;50%&lt;60%","EC60 Dose",IF(G5="&gt;60%&lt;70%","EC70 Dose",IF(OR(G5="&gt;70%&lt;84%",G5="&gt;84%"),"EC84 Dose","N/A")))))))</f>
        <v>EC84 Dose</v>
      </c>
      <c r="H6" s="76" t="str">
        <f>IF(H5="&lt;16%","LC16 Dose",IF(H5="&gt;16%&lt;30%","LC30 Dose",IF(H5="&gt;30%&lt;40%","LC40 Dose",IF(H5="&gt;40%&lt;50%","LC50 Dose",IF(H5="&gt;50%&lt;60%","LC60 Dose",IF(H5="&gt;60%&lt;70%","LC70 Dose",IF(OR(H5="&gt;70%&lt;84%",H5="&gt;84%"),"LC84 Dose","N/A")))))))</f>
        <v>LC84 Dose</v>
      </c>
      <c r="I6" s="73"/>
      <c r="J6" s="71"/>
      <c r="K6" s="257"/>
      <c r="L6" s="257"/>
      <c r="M6" s="257"/>
      <c r="N6" s="257"/>
      <c r="O6" s="257"/>
      <c r="P6" s="257"/>
      <c r="Q6" s="257"/>
      <c r="R6" s="257"/>
      <c r="S6" s="257"/>
    </row>
    <row r="7" spans="1:19" ht="15" customHeight="1" thickBot="1" x14ac:dyDescent="0.25">
      <c r="A7" s="349"/>
      <c r="B7" s="145">
        <f>IF('CWA Entry'!A7=1,'Calculations (Toxic Load)'!Q5,IF('CWA Entry'!A7=2,'Calculations (Toxic Load)'!Q10,IF('CWA Entry'!A7=3,'Calculations (Toxic Load)'!Q15,IF('CWA Entry'!A7=4,'Calculations (Toxic Load)'!Q18,IF('CWA Entry'!A7=5,'Calculations (Toxic Load)'!Q26,IF('CWA Entry'!A7&gt;=6,"N/A","Error"))))))</f>
        <v>0.21970684515338096</v>
      </c>
      <c r="C7" s="145">
        <f>IF('CWA Entry'!A7=1,'Calculations (Toxic Load)'!P4,IF('CWA Entry'!A7=2,'Calculations (Toxic Load)'!P9,IF('CWA Entry'!A7=3,'Calculations (Toxic Load)'!P14,IF('CWA Entry'!A7=4,'Calculations (Toxic Load)'!P17,IF('CWA Entry'!A7=5,'Calculations (Toxic Load)'!P26,IF('CWA Entry'!A7&gt;=6,"N/A","Error"))))))</f>
        <v>353.13438615568862</v>
      </c>
      <c r="D7" s="145">
        <f>IF('CWA Entry'!A7=1,'Calculations (Toxic Load)'!O4,IF('CWA Entry'!A7=2,'Calculations (Toxic Load)'!O9,IF('CWA Entry'!A7=3,'Calculations (Toxic Load)'!O14,IF('CWA Entry'!A7=4,'Calculations (Toxic Load)'!O17,IF('CWA Entry'!A7=5,'Calculations (Toxic Load)'!O26,IF('CWA Entry'!A7&gt;=6,"N/A","Error"))))))</f>
        <v>552.2112250588325</v>
      </c>
      <c r="E7" s="72"/>
      <c r="F7" s="145">
        <f>IF('CWA Entry'!B4&gt;29.4444,"N/A",IF('CWA Entry'!A7=1,'Calculations (Toxic Load)'!Q6,IF('CWA Entry'!A7=2,'Calculations (Toxic Load)'!Q11,IF('CWA Entry'!A7=3,'Calculations (Toxic Load)'!Q20,IF('CWA Entry'!A7=4,'Calculations (Toxic Load)'!Q23,IF('CWA Entry'!A7=5,'Calculations (Toxic Load)'!Q27,IF('CWA Entry'!A7&gt;=6,"N/A","Error")))))))</f>
        <v>3169.7863849222272</v>
      </c>
      <c r="G7" s="145">
        <f>IF('CWA Entry'!B4&gt;29.4444,"N/A",IF('CWA Entry'!A7=1,'Calculations (Toxic Load)'!P6,IF('CWA Entry'!A7=2,'Calculations (Toxic Load)'!P11,IF('CWA Entry'!A7=3,'Calculations (Toxic Load)'!P20,IF('CWA Entry'!A7=4,'Calculations (Toxic Load)'!P23,IF('CWA Entry'!A7=5,'Calculations (Toxic Load)'!P27,IF('CWA Entry'!A7&gt;=6,"N/A","Error")))))))</f>
        <v>19018.718309533364</v>
      </c>
      <c r="H7" s="145">
        <f>IF('CWA Entry'!B4&gt;29.4444,"N/A",IF('CWA Entry'!A7=1,'Calculations (Toxic Load)'!O6,IF('CWA Entry'!A7=2,'Calculations (Toxic Load)'!O11,IF('CWA Entry'!A7=3,'Calculations (Toxic Load)'!O20,IF('CWA Entry'!A7=4,'Calculations (Toxic Load)'!O23,IF('CWA Entry'!A7=5,'Calculations (Toxic Load)'!O27,IF('CWA Entry'!A7&gt;=6,"N/A","Error")))))))</f>
        <v>23773.397886916704</v>
      </c>
      <c r="I7" s="72"/>
      <c r="J7" s="70"/>
      <c r="K7" s="257"/>
      <c r="L7" s="257"/>
      <c r="M7" s="257"/>
      <c r="N7" s="257"/>
      <c r="O7" s="257"/>
      <c r="P7" s="257"/>
      <c r="Q7" s="257"/>
      <c r="R7" s="257"/>
      <c r="S7" s="257"/>
    </row>
    <row r="8" spans="1:19" ht="15" customHeight="1" x14ac:dyDescent="0.2">
      <c r="A8" s="350" t="s">
        <v>487</v>
      </c>
      <c r="B8" s="351">
        <f>IF('CWA Entry'!A7=1,'Calculations (Toxic Load)'!K5,IF('CWA Entry'!A7=2,'Calculations (Toxic Load)'!K10,IF('CWA Entry'!A7=3,'Calculations (Toxic Load)'!K15,IF('CWA Entry'!A7=4,'Calculations (Toxic Load)'!K18,IF('CWA Entry'!A7=5,'Calculations (Toxic Load)'!K26,IF('CWA Entry'!A7&gt;=6,"N/A","Error"))))))</f>
        <v>175301.17103771528</v>
      </c>
      <c r="C8" s="351">
        <f>IF('CWA Entry'!A7=1,'Calculations (Toxic Load)'!K4,IF('CWA Entry'!A7=2,'Calculations (Toxic Load)'!K9,IF('CWA Entry'!A7=3,'Calculations (Toxic Load)'!K14,IF('CWA Entry'!A7=4,'Calculations (Toxic Load)'!K17,IF('CWA Entry'!A7=5,'Calculations (Toxic Load)'!K26,IF('CWA Entry'!A7&gt;=6,"N/A","Error"))))))</f>
        <v>116094.45277697644</v>
      </c>
      <c r="D8" s="351">
        <f>IF('CWA Entry'!A7=1,'Calculations (Toxic Load)'!K4,IF('CWA Entry'!A7=2,'Calculations (Toxic Load)'!K9,IF('CWA Entry'!A7=3,'Calculations (Toxic Load)'!K14,IF('CWA Entry'!A7=4,'Calculations (Toxic Load)'!K17,IF('CWA Entry'!A7=5,'Calculations (Toxic Load)'!K26,IF('CWA Entry'!A7&gt;=6,"N/A","Error"))))))</f>
        <v>116094.45277697644</v>
      </c>
      <c r="E8" s="72"/>
      <c r="F8" s="351">
        <f>IF('CWA Entry'!B4&gt;29.4444,"N/A - HOT",IF('CWA Entry'!A7=1,'Calculations (Toxic Load)'!K6,IF('CWA Entry'!A7=2,'Calculations (Toxic Load)'!K11,IF('CWA Entry'!A7=3,'Calculations (Toxic Load)'!K20,IF('CWA Entry'!A7=4,'Calculations (Toxic Load)'!K23,IF('CWA Entry'!A7=5,'Calculations (Toxic Load)'!K27,IF('CWA Entry'!A7&gt;=6,"N/A","Error")))))))</f>
        <v>14789.201509055989</v>
      </c>
      <c r="G8" s="351">
        <f>IF('CWA Entry'!B4&gt;29.4444,"N/A - HOT",IF('CWA Entry'!A7=1,'Calculations (Toxic Load)'!K6,IF('CWA Entry'!A7=2,'Calculations (Toxic Load)'!K11,IF('CWA Entry'!A7=3,'Calculations (Toxic Load)'!K20,IF('CWA Entry'!A7=4,'Calculations (Toxic Load)'!K23,IF('CWA Entry'!A7=5,'Calculations (Toxic Load)'!K27,IF('CWA Entry'!A7&gt;=6,"N/A","Error")))))))</f>
        <v>14789.201509055989</v>
      </c>
      <c r="H8" s="351">
        <f>IF('CWA Entry'!B4&gt;29.4444,"N/A - HOT",IF('CWA Entry'!A7=1,'Calculations (Toxic Load)'!K6,IF('CWA Entry'!A7=2,'Calculations (Toxic Load)'!K11,IF('CWA Entry'!A7=3,'Calculations (Toxic Load)'!K20,IF('CWA Entry'!A7=4,'Calculations (Toxic Load)'!K23,IF('CWA Entry'!A7=5,'Calculations (Toxic Load)'!K27,IF('CWA Entry'!A7&gt;=6,"N/A","Error")))))))</f>
        <v>14789.201509055989</v>
      </c>
      <c r="I8" s="72"/>
      <c r="J8" s="70"/>
      <c r="K8" s="257"/>
      <c r="L8" s="257"/>
      <c r="M8" s="257"/>
      <c r="N8" s="257"/>
      <c r="O8" s="257"/>
      <c r="P8" s="257"/>
      <c r="Q8" s="257"/>
      <c r="R8" s="257"/>
      <c r="S8" s="257"/>
    </row>
    <row r="9" spans="1:19" ht="15" customHeight="1" thickBot="1" x14ac:dyDescent="0.25">
      <c r="A9" s="350"/>
      <c r="B9" s="352"/>
      <c r="C9" s="352"/>
      <c r="D9" s="352"/>
      <c r="E9" s="72"/>
      <c r="F9" s="352"/>
      <c r="G9" s="352"/>
      <c r="H9" s="352"/>
      <c r="I9" s="72"/>
      <c r="J9" s="70"/>
      <c r="K9" s="257"/>
      <c r="L9" s="257"/>
      <c r="M9" s="257"/>
      <c r="N9" s="257"/>
      <c r="O9" s="257"/>
      <c r="P9" s="257"/>
      <c r="Q9" s="257"/>
      <c r="R9" s="257"/>
      <c r="S9" s="257"/>
    </row>
    <row r="10" spans="1:19" ht="18.75" thickBot="1" x14ac:dyDescent="0.3">
      <c r="A10" s="86"/>
      <c r="B10" s="81"/>
      <c r="C10" s="81"/>
      <c r="D10" s="81"/>
      <c r="E10" s="81"/>
      <c r="F10" s="81"/>
      <c r="G10" s="81"/>
      <c r="H10" s="81"/>
      <c r="I10" s="81"/>
      <c r="J10" s="79"/>
      <c r="K10" s="257"/>
      <c r="L10" s="257"/>
      <c r="M10" s="257"/>
      <c r="N10" s="257"/>
      <c r="O10" s="257"/>
      <c r="P10" s="257"/>
      <c r="Q10" s="257"/>
      <c r="R10" s="257"/>
      <c r="S10" s="257"/>
    </row>
    <row r="11" spans="1:19" ht="26.25" thickBot="1" x14ac:dyDescent="0.25">
      <c r="A11" s="147" t="s">
        <v>161</v>
      </c>
      <c r="B11" s="144" t="s">
        <v>222</v>
      </c>
      <c r="C11" s="144" t="s">
        <v>97</v>
      </c>
      <c r="D11" s="144" t="s">
        <v>220</v>
      </c>
      <c r="E11" s="73"/>
      <c r="F11" s="336"/>
      <c r="G11" s="337"/>
      <c r="H11" s="337"/>
      <c r="I11" s="337"/>
      <c r="J11" s="71"/>
      <c r="K11" s="257"/>
      <c r="L11" s="257"/>
      <c r="M11" s="257"/>
      <c r="N11" s="257"/>
      <c r="O11" s="257"/>
      <c r="P11" s="257"/>
      <c r="Q11" s="257"/>
      <c r="R11" s="257"/>
      <c r="S11" s="257"/>
    </row>
    <row r="12" spans="1:19" ht="13.5" thickBot="1" x14ac:dyDescent="0.25">
      <c r="A12" s="95" t="s">
        <v>126</v>
      </c>
      <c r="B12" s="281" t="str">
        <f>IF('CWA Entry'!A7=1,'Calculations (Toxic Load)'!N41,IF('CWA Entry'!A7=2,'Calculations (Toxic Load)'!N44,IF('CWA Entry'!A7=3,'Calculations (Toxic Load)'!N47,IF('CWA Entry'!A7=4,'Calculations (Toxic Load)'!N50,IF('CWA Entry'!A7=5,'Calculations (Toxic Load)'!N52,IF('CWA Entry'!A7&gt;=6,"N/A","Error"))))))</f>
        <v>&gt;84%</v>
      </c>
      <c r="C12" s="281" t="str">
        <f>IF('CWA Entry'!A7=1,'Calculations (Toxic Load)'!M40,IF('CWA Entry'!A7=2,'Calculations (Toxic Load)'!M43,IF('CWA Entry'!A7=3,'Calculations (Toxic Load)'!M46,IF('CWA Entry'!A7=4,'Calculations (Toxic Load)'!M49,IF('CWA Entry'!A7=5,'Calculations (Toxic Load)'!M52,IF('CWA Entry'!A7&gt;=6,"N/A","Error"))))))</f>
        <v>&gt;84%</v>
      </c>
      <c r="D12" s="281" t="str">
        <f>IF('CWA Entry'!A7=1,'Calculations (Toxic Load)'!L40,IF('CWA Entry'!A7=2,'Calculations (Toxic Load)'!L43,IF('CWA Entry'!A7=3,'Calculations (Toxic Load)'!L46,IF('CWA Entry'!A7=4,'Calculations (Toxic Load)'!L49,IF('CWA Entry'!A7=5,'Calculations (Toxic Load)'!L52,IF('CWA Entry'!A7&gt;=6,"N/A","Error"))))))</f>
        <v>&gt;84%</v>
      </c>
      <c r="E12" s="72"/>
      <c r="F12" s="72"/>
      <c r="G12" s="72"/>
      <c r="H12" s="72"/>
      <c r="I12" s="72"/>
      <c r="J12" s="70"/>
      <c r="K12" s="257"/>
      <c r="L12" s="257"/>
      <c r="M12" s="257"/>
      <c r="N12" s="257"/>
      <c r="O12" s="257"/>
      <c r="P12" s="257"/>
      <c r="Q12" s="257"/>
      <c r="R12" s="257"/>
      <c r="S12" s="257"/>
    </row>
    <row r="13" spans="1:19" ht="15" customHeight="1" x14ac:dyDescent="0.2">
      <c r="A13" s="349" t="s">
        <v>488</v>
      </c>
      <c r="B13" s="76" t="str">
        <f>IF(B12="&lt;16%","TH16 Dose",IF(B12="&gt;16%&lt;30%","TH30 Dose",IF(B12="&gt;30%&lt;40%","TH40 Dose",IF(B12="&gt;40%&lt;50%","TH50 Dose",IF(B12="&gt;50%&lt;60%","TH60 Dose",IF(B12="&gt;60%&lt;70%","TH70 Dose",IF(OR(B12="&gt;70%&lt;84%",B12="&gt;84%"),"TH84 Dose","N/A")))))))</f>
        <v>TH84 Dose</v>
      </c>
      <c r="C13" s="76" t="str">
        <f>IF(C12="&lt;16%","EC16 Dose",IF(C12="&gt;16%&lt;30%","EC30 Dose",IF(C12="&gt;30%&lt;40%","EC40 Dose",IF(C12="&gt;40%&lt;50%","EC50 Dose",IF(C12="&gt;50%&lt;60%","EC60 Dose",IF(C12="&gt;60%&lt;70%","EC70 Dose",IF(OR(C12="&gt;70%&lt;84%",C12="&gt;84%"),"EC84 Dose","N/A")))))))</f>
        <v>EC84 Dose</v>
      </c>
      <c r="D13" s="76" t="str">
        <f>IF(D12="&lt;16%","LC16 Dose",IF(D12="&gt;16%&lt;30%","LC30 Dose",IF(D12="&gt;30%&lt;40%","LC40 Dose",IF(D12="&gt;40%&lt;50%","LC50 Dose",IF(D12="&gt;50%&lt;60%","LC60 Dose",IF(D12="&gt;60%&lt;70%","LC70 Dose",IF(OR(D12="&gt;70%&lt;84%",D12="&gt;84%"),"LC84 Dose","N/A")))))))</f>
        <v>LC84 Dose</v>
      </c>
      <c r="E13" s="73"/>
      <c r="F13" s="73"/>
      <c r="G13" s="73"/>
      <c r="H13" s="73"/>
      <c r="I13" s="73"/>
      <c r="J13" s="71"/>
      <c r="K13" s="257"/>
      <c r="L13" s="257"/>
      <c r="M13" s="257"/>
      <c r="N13" s="257"/>
      <c r="O13" s="257"/>
      <c r="P13" s="257"/>
      <c r="Q13" s="257"/>
      <c r="R13" s="257"/>
      <c r="S13" s="257"/>
    </row>
    <row r="14" spans="1:19" ht="15" customHeight="1" thickBot="1" x14ac:dyDescent="0.25">
      <c r="A14" s="349"/>
      <c r="B14" s="145">
        <f>IF('CWA Entry'!A7=1,'Calculations (Toxic Load)'!Q41,IF('CWA Entry'!A7=2,'Calculations (Toxic Load)'!Q44,IF('CWA Entry'!A7=3,'Calculations (Toxic Load)'!Q47,IF('CWA Entry'!A7=4,'Calculations (Toxic Load)'!Q50,IF('CWA Entry'!A7=5,'Calculations (Toxic Load)'!Q52,IF('CWA Entry'!A7&gt;=6,"N/A","Error"))))))</f>
        <v>0.10985342257669048</v>
      </c>
      <c r="C14" s="145">
        <f>IF('CWA Entry'!A7=1,'Calculations (Toxic Load)'!P40,IF('CWA Entry'!A7=2,'Calculations (Toxic Load)'!P43,IF('CWA Entry'!A7=3,'Calculations (Toxic Load)'!P46,IF('CWA Entry'!A7=4,'Calculations (Toxic Load)'!P49,IF('CWA Entry'!A7=5,'Calculations (Toxic Load)'!P52,IF('CWA Entry'!A7&gt;=6,"N/A","Error"))))))</f>
        <v>176.56719307784431</v>
      </c>
      <c r="D14" s="145">
        <f>IF('CWA Entry'!A7=1,'Calculations (Toxic Load)'!O40,IF('CWA Entry'!A7=2,'Calculations (Toxic Load)'!O43,IF('CWA Entry'!A7=3,'Calculations (Toxic Load)'!O46,IF('CWA Entry'!A7=4,'Calculations (Toxic Load)'!O49,IF('CWA Entry'!A7=5,'Calculations (Toxic Load)'!O52,IF('CWA Entry'!A7&gt;=6,"N/A","Error"))))))</f>
        <v>276.10561252941625</v>
      </c>
      <c r="E14" s="72"/>
      <c r="F14" s="73"/>
      <c r="G14" s="73"/>
      <c r="H14" s="73"/>
      <c r="I14" s="73"/>
      <c r="J14" s="70"/>
      <c r="K14" s="257"/>
      <c r="L14" s="257"/>
      <c r="M14" s="257"/>
      <c r="N14" s="257"/>
      <c r="O14" s="257"/>
      <c r="P14" s="257"/>
      <c r="Q14" s="257"/>
      <c r="R14" s="257"/>
      <c r="S14" s="257"/>
    </row>
    <row r="15" spans="1:19" ht="15" customHeight="1" x14ac:dyDescent="0.2">
      <c r="A15" s="350" t="s">
        <v>487</v>
      </c>
      <c r="B15" s="351">
        <f>IF('CWA Entry'!A7=1,'Calculations (Toxic Load)'!K5,IF('CWA Entry'!A7=2,'Calculations (Toxic Load)'!K10,IF('CWA Entry'!A7=3,'Calculations (Toxic Load)'!K15,IF('CWA Entry'!A7=4,'Calculations (Toxic Load)'!K18,IF('CWA Entry'!A7=5,'Calculations (Toxic Load)'!K26,IF('CWA Entry'!A7&gt;=6,"N/A","Error"))))))</f>
        <v>175301.17103771528</v>
      </c>
      <c r="C15" s="351">
        <f>IF('CWA Entry'!A7=1,'Calculations (Toxic Load)'!K4,IF('CWA Entry'!A7=2,'Calculations (Toxic Load)'!K9,IF('CWA Entry'!A7=3,'Calculations (Toxic Load)'!K14,IF('CWA Entry'!A7=4,'Calculations (Toxic Load)'!K17,IF('CWA Entry'!A7=5,'Calculations (Toxic Load)'!K26,IF('CWA Entry'!A7&gt;=6,"N/A","Error"))))))</f>
        <v>116094.45277697644</v>
      </c>
      <c r="D15" s="351">
        <f>IF('CWA Entry'!A7=1,'Calculations (Toxic Load)'!K4,IF('CWA Entry'!A7=2,'Calculations (Toxic Load)'!K9,IF('CWA Entry'!A7=3,'Calculations (Toxic Load)'!K14,IF('CWA Entry'!A7=4,'Calculations (Toxic Load)'!K17,IF('CWA Entry'!A7=5,'Calculations (Toxic Load)'!K26,IF('CWA Entry'!A7&gt;=6,"N/A","Error"))))))</f>
        <v>116094.45277697644</v>
      </c>
      <c r="E15" s="77"/>
      <c r="F15" s="72"/>
      <c r="G15" s="72"/>
      <c r="H15" s="72"/>
      <c r="I15" s="72"/>
      <c r="J15" s="70"/>
      <c r="K15" s="257"/>
      <c r="L15" s="257"/>
      <c r="M15" s="257"/>
      <c r="N15" s="257"/>
      <c r="O15" s="257"/>
      <c r="P15" s="257"/>
      <c r="Q15" s="257"/>
      <c r="R15" s="257"/>
      <c r="S15" s="257"/>
    </row>
    <row r="16" spans="1:19" ht="15" customHeight="1" thickBot="1" x14ac:dyDescent="0.25">
      <c r="A16" s="350"/>
      <c r="B16" s="352"/>
      <c r="C16" s="352"/>
      <c r="D16" s="352"/>
      <c r="E16" s="72"/>
      <c r="F16" s="357" t="s">
        <v>204</v>
      </c>
      <c r="G16" s="357"/>
      <c r="H16" s="357"/>
      <c r="I16" s="72"/>
      <c r="J16" s="70"/>
      <c r="K16" s="257"/>
      <c r="L16" s="257"/>
      <c r="M16" s="257"/>
      <c r="N16" s="257"/>
      <c r="O16" s="257"/>
      <c r="P16" s="257"/>
      <c r="Q16" s="257"/>
      <c r="R16" s="257"/>
      <c r="S16" s="257"/>
    </row>
    <row r="17" spans="1:19" ht="13.5" customHeight="1" thickBot="1" x14ac:dyDescent="0.25">
      <c r="A17" s="87"/>
      <c r="B17" s="72"/>
      <c r="C17" s="72"/>
      <c r="D17" s="72"/>
      <c r="E17" s="77"/>
      <c r="F17" s="348"/>
      <c r="G17" s="348"/>
      <c r="H17" s="348"/>
      <c r="I17" s="72"/>
      <c r="J17" s="70"/>
      <c r="K17" s="257"/>
      <c r="L17" s="257"/>
      <c r="M17" s="257"/>
      <c r="N17" s="257"/>
      <c r="O17" s="257"/>
      <c r="P17" s="257"/>
      <c r="Q17" s="257"/>
      <c r="R17" s="257"/>
      <c r="S17" s="257"/>
    </row>
    <row r="18" spans="1:19" ht="26.25" thickBot="1" x14ac:dyDescent="0.25">
      <c r="A18" s="147" t="s">
        <v>162</v>
      </c>
      <c r="B18" s="144" t="s">
        <v>222</v>
      </c>
      <c r="C18" s="144" t="s">
        <v>97</v>
      </c>
      <c r="D18" s="144" t="s">
        <v>221</v>
      </c>
      <c r="E18" s="73"/>
      <c r="F18" s="144" t="s">
        <v>193</v>
      </c>
      <c r="G18" s="144" t="s">
        <v>97</v>
      </c>
      <c r="H18" s="144" t="s">
        <v>220</v>
      </c>
      <c r="I18" s="73"/>
      <c r="J18" s="71"/>
      <c r="K18" s="257"/>
      <c r="L18" s="257"/>
      <c r="M18" s="257"/>
      <c r="N18" s="257"/>
      <c r="O18" s="257"/>
      <c r="P18" s="257"/>
      <c r="Q18" s="257"/>
      <c r="R18" s="257"/>
      <c r="S18" s="257"/>
    </row>
    <row r="19" spans="1:19" ht="13.5" thickBot="1" x14ac:dyDescent="0.25">
      <c r="A19" s="95" t="s">
        <v>126</v>
      </c>
      <c r="B19" s="281" t="str">
        <f>IF('CWA Entry'!A7=1,'Calculations (Toxic Load)'!N61,IF('CWA Entry'!A7=2,'Calculations (Toxic Load)'!N64,IF('CWA Entry'!A7=3,'Calculations (Toxic Load)'!N67,IF('CWA Entry'!A7=4,'Calculations (Toxic Load)'!N70,IF('CWA Entry'!A7=5,'Calculations (Toxic Load)'!N72,IF('CWA Entry'!A7&gt;=6,"N/A","Error"))))))</f>
        <v>&gt;84%</v>
      </c>
      <c r="C19" s="281" t="str">
        <f>IF('CWA Entry'!A7=1,'Calculations (Toxic Load)'!M60,IF('CWA Entry'!A7=2,'Calculations (Toxic Load)'!M63,IF('CWA Entry'!A7=3,'Calculations (Toxic Load)'!M66,IF('CWA Entry'!A7=4,'Calculations (Toxic Load)'!M69,IF('CWA Entry'!A7=5,'Calculations (Toxic Load)'!M72,IF('CWA Entry'!A7&gt;=6,"N/A","Error"))))))</f>
        <v>&gt;84%</v>
      </c>
      <c r="D19" s="281" t="str">
        <f>IF('CWA Entry'!A7=1,'Calculations (Toxic Load)'!L60,IF('CWA Entry'!A7=2,'Calculations (Toxic Load)'!L63,IF('CWA Entry'!A7=3,'Calculations (Toxic Load)'!L66,IF('CWA Entry'!A7=4,'Calculations (Toxic Load)'!L69,IF('CWA Entry'!A7=5,'Calculations (Toxic Load)'!L72,IF('CWA Entry'!A7&gt;=6,"N/A","Error"))))))</f>
        <v>&gt;84%</v>
      </c>
      <c r="E19" s="72"/>
      <c r="F19" s="281" t="str">
        <f>IF('CWA Entry'!B4&lt;=29.4444,"N/A",IF('CWA Entry'!A7=1,'Calculations (Toxic Load)'!N7,IF('CWA Entry'!A7=2,'Calculations (Toxic Load)'!N12,IF('CWA Entry'!A7=3,'Calculations (Toxic Load)'!N21,IF('CWA Entry'!A7=4,'Calculations (Toxic Load)'!N24,IF('CWA Entry'!A7=5,'Calculations (Toxic Load)'!N28,IF('CWA Entry'!A7&gt;=6,"N/A","Error")))))))</f>
        <v>N/A</v>
      </c>
      <c r="G19" s="281" t="str">
        <f>IF('CWA Entry'!B4&lt;=29.4444,"N/A",IF('CWA Entry'!B4&lt;=29.4444,"N/A",IF('CWA Entry'!A7=1,'Calculations (Toxic Load)'!M7,IF('CWA Entry'!A7=2,'Calculations (Toxic Load)'!M12,IF('CWA Entry'!A7=3,'Calculations (Toxic Load)'!M21,IF('CWA Entry'!A7=4,'Calculations (Toxic Load)'!M24,IF('CWA Entry'!A7=5,'Calculations (Toxic Load)'!M28,IF('CWA Entry'!A7&gt;=6,"N/A","Error"))))))))</f>
        <v>N/A</v>
      </c>
      <c r="H19" s="281" t="str">
        <f>IF('CWA Entry'!B4&lt;=29.4444,"N/A",IF('CWA Entry'!A7=1,'Calculations (Toxic Load)'!L7,IF('CWA Entry'!A7=2,'Calculations (Toxic Load)'!L12,IF('CWA Entry'!A7=3,'Calculations (Toxic Load)'!L21,IF('CWA Entry'!A7=4,'Calculations (Toxic Load)'!L24,IF('CWA Entry'!A7=5,'Calculations (Toxic Load)'!L28,IF('CWA Entry'!A7&gt;=6,"N/A","Error")))))))</f>
        <v>N/A</v>
      </c>
      <c r="I19" s="72"/>
      <c r="J19" s="70"/>
      <c r="K19" s="257"/>
      <c r="L19" s="257"/>
      <c r="M19" s="257"/>
      <c r="N19" s="257"/>
      <c r="O19" s="257"/>
      <c r="P19" s="257"/>
      <c r="Q19" s="257"/>
      <c r="R19" s="257"/>
      <c r="S19" s="257"/>
    </row>
    <row r="20" spans="1:19" ht="15" customHeight="1" x14ac:dyDescent="0.2">
      <c r="A20" s="349" t="s">
        <v>488</v>
      </c>
      <c r="B20" s="76" t="str">
        <f>IF(B19="&lt;16%","TH16 Dose",IF(B19="&gt;16%&lt;30%","TH30 Dose",IF(B19="&gt;30%&lt;40%","TH40 Dose",IF(B19="&gt;40%&lt;50%","TH50 Dose",IF(B19="&gt;50%&lt;60%","TH60 Dose",IF(B19="&gt;60%&lt;70%","TH70 Dose",IF(OR(B19="&gt;70%&lt;84%",B19="&gt;84%"),"TH84 Dose","N/A")))))))</f>
        <v>TH84 Dose</v>
      </c>
      <c r="C20" s="76" t="str">
        <f>IF(C19="&lt;16%","EC16 Dose",IF(C19="&gt;16%&lt;30%","EC30 Dose",IF(C19="&gt;30%&lt;40%","EC40 Dose",IF(C19="&gt;40%&lt;50%","EC50 Dose",IF(C19="&gt;50%&lt;60%","EC60 Dose",IF(C19="&gt;60%&lt;70%","EC70 Dose",IF(OR(C19="&gt;70%&lt;84%",C19="&gt;84%"),"EC84 Dose","N/A")))))))</f>
        <v>EC84 Dose</v>
      </c>
      <c r="D20" s="76" t="str">
        <f>IF(D19="&lt;16%","LC16 Dose",IF(D19="&gt;16%&lt;30%","LC30 Dose",IF(D19="&gt;30%&lt;40%","LC40 Dose",IF(D19="&gt;40%&lt;50%","LC50 Dose",IF(D19="&gt;50%&lt;60%","LC60 Dose",IF(D19="&gt;60%&lt;70%","LC70 Dose",IF(OR(D19="&gt;70%&lt;84%",D19="&gt;84%"),"LC84 Dose","N/A")))))))</f>
        <v>LC84 Dose</v>
      </c>
      <c r="E20" s="73"/>
      <c r="F20" s="76" t="str">
        <f>IF(F19="&lt;16%","TH16 Dose",IF(F19="&gt;16%&lt;30%","TH30 Dose",IF(F19="&gt;30%&lt;40%","TH40 Dose",IF(F19="&gt;40%&lt;50%","TH50 Dose",IF(F19="&gt;50%&lt;60%","TH60 Dose",IF(F19="&gt;60%&lt;70%","TH70 Dose",IF(OR(F19="&gt;70%&lt;84%",F19="&gt;84%"),"TH84 Dose","N/A")))))))</f>
        <v>N/A</v>
      </c>
      <c r="G20" s="76" t="str">
        <f>IF(G19="&lt;16%","EC16 Dose",IF(G19="&gt;16%&lt;30%","EC30 Dose",IF(G19="&gt;30%&lt;40%","EC40 Dose",IF(G19="&gt;40%&lt;50%","EC50 Dose",IF(G19="&gt;50%&lt;60%","EC60 Dose",IF(G19="&gt;60%&lt;70%","EC70 Dose",IF(OR(G19="&gt;70%&lt;84%",G19="&gt;84%"),"EC84 Dose","N/A")))))))</f>
        <v>N/A</v>
      </c>
      <c r="H20" s="76" t="str">
        <f>IF(H19="&lt;16%","LC16 Dose",IF(H19="&gt;16%&lt;30%","LC30 Dose",IF(H19="&gt;30%&lt;40%","LC40 Dose",IF(H19="&gt;40%&lt;50%","LC50 Dose",IF(H19="&gt;50%&lt;60%","LC60 Dose",IF(H19="&gt;60%&lt;70%","LC70 Dose",IF(OR(H19="&gt;70%&lt;84%",H19="&gt;84%"),"LC84 Dose","N/A")))))))</f>
        <v>N/A</v>
      </c>
      <c r="I20" s="73"/>
      <c r="J20" s="71"/>
      <c r="K20" s="257"/>
      <c r="L20" s="257"/>
      <c r="M20" s="257"/>
      <c r="N20" s="257"/>
      <c r="O20" s="257"/>
      <c r="P20" s="257"/>
      <c r="Q20" s="257"/>
      <c r="R20" s="257"/>
      <c r="S20" s="257"/>
    </row>
    <row r="21" spans="1:19" ht="15" customHeight="1" thickBot="1" x14ac:dyDescent="0.25">
      <c r="A21" s="349"/>
      <c r="B21" s="145">
        <f>IF('CWA Entry'!A7=1,'Calculations (Toxic Load)'!Q61,IF('CWA Entry'!A7=2,'Calculations (Toxic Load)'!Q64,IF('CWA Entry'!A7=3,'Calculations (Toxic Load)'!Q67,IF('CWA Entry'!A7=4,'Calculations (Toxic Load)'!Q70,IF('CWA Entry'!A7=5,'Calculations (Toxic Load)'!Q72,IF('CWA Entry'!A7&gt;=6,"N/A","Error"))))))</f>
        <v>7.3235615051126982E-2</v>
      </c>
      <c r="C21" s="145">
        <f>IF('CWA Entry'!A7=1,'Calculations (Toxic Load)'!P60,IF('CWA Entry'!A7=2,'Calculations (Toxic Load)'!P63,IF('CWA Entry'!A7=3,'Calculations (Toxic Load)'!P66,IF('CWA Entry'!A7=4,'Calculations (Toxic Load)'!P69,IF('CWA Entry'!A7=5,'Calculations (Toxic Load)'!P72,IF('CWA Entry'!A7&gt;=6,"N/A","Error"))))))</f>
        <v>117.71146205189621</v>
      </c>
      <c r="D21" s="145">
        <f>IF('CWA Entry'!A7=1,'Calculations (Toxic Load)'!O60,IF('CWA Entry'!A7=2,'Calculations (Toxic Load)'!O63,IF('CWA Entry'!A7=3,'Calculations (Toxic Load)'!O66,IF('CWA Entry'!A7=4,'Calculations (Toxic Load)'!O69,IF('CWA Entry'!A7=5,'Calculations (Toxic Load)'!O72,IF('CWA Entry'!A7&gt;=6,"N/A","Error"))))))</f>
        <v>184.07040835294416</v>
      </c>
      <c r="E21" s="72"/>
      <c r="F21" s="145" t="str">
        <f>IF('CWA Entry'!B4&lt;=29.4444,"N/A",IF('CWA Entry'!A7=1,'Calculations (Toxic Load)'!Q7,IF('CWA Entry'!A7=2,'Calculations (Toxic Load)'!Q12,IF('CWA Entry'!A7=3,'Calculations (Toxic Load)'!Q21,IF('CWA Entry'!A7=4,'Calculations (Toxic Load)'!Q24,IF('CWA Entry'!A7=5,'Calculations (Toxic Load)'!Q28,IF('CWA Entry'!A7&gt;=6,"N/A","Error")))))))</f>
        <v>N/A</v>
      </c>
      <c r="G21" s="145" t="str">
        <f>IF('CWA Entry'!B4&lt;=29.4444,"N/A",IF('CWA Entry'!A7=1,'Calculations (Toxic Load)'!P7,IF('CWA Entry'!A7=2,'Calculations (Toxic Load)'!P12,IF('CWA Entry'!A7=3,'Calculations (Toxic Load)'!P21,IF('CWA Entry'!A7=4,'Calculations (Toxic Load)'!P24,IF('CWA Entry'!A7=5,'Calculations (Toxic Load)'!P28,IF('CWA Entry'!A7&gt;=6,"N/A","Error")))))))</f>
        <v>N/A</v>
      </c>
      <c r="H21" s="145" t="str">
        <f>IF('CWA Entry'!B4&lt;=29.4444,"N/A",IF('CWA Entry'!A7=1,'Calculations (Toxic Load)'!O7,IF('CWA Entry'!A7=2,'Calculations (Toxic Load)'!O12,IF('CWA Entry'!A7=3,'Calculations (Toxic Load)'!O21,IF('CWA Entry'!A7=4,'Calculations (Toxic Load)'!O24,IF('CWA Entry'!A7=5,'Calculations (Toxic Load)'!O28,IF('CWA Entry'!A7&gt;=6,"N/A","Error")))))))</f>
        <v>N/A</v>
      </c>
      <c r="I21" s="72"/>
      <c r="J21" s="70"/>
      <c r="K21" s="257"/>
      <c r="L21" s="257"/>
      <c r="M21" s="257"/>
      <c r="N21" s="257"/>
      <c r="O21" s="257"/>
      <c r="P21" s="257"/>
      <c r="Q21" s="257"/>
      <c r="R21" s="257"/>
      <c r="S21" s="257"/>
    </row>
    <row r="22" spans="1:19" ht="15" customHeight="1" x14ac:dyDescent="0.2">
      <c r="A22" s="350" t="s">
        <v>487</v>
      </c>
      <c r="B22" s="351">
        <f>IF('CWA Entry'!A7=1,'Calculations (Toxic Load)'!K5,IF('CWA Entry'!A7=2,'Calculations (Toxic Load)'!K10,IF('CWA Entry'!A7=3,'Calculations (Toxic Load)'!K15,IF('CWA Entry'!A7=4,'Calculations (Toxic Load)'!K18,IF('CWA Entry'!A7=5,'Calculations (Toxic Load)'!K26,IF('CWA Entry'!A7&gt;=6,"N/A","Error"))))))</f>
        <v>175301.17103771528</v>
      </c>
      <c r="C22" s="351">
        <f>IF('CWA Entry'!A7=1,'Calculations (Toxic Load)'!K4,IF('CWA Entry'!A7=2,'Calculations (Toxic Load)'!K9,IF('CWA Entry'!A7=3,'Calculations (Toxic Load)'!K14,IF('CWA Entry'!A7=4,'Calculations (Toxic Load)'!K17,IF('CWA Entry'!A7=5,'Calculations (Toxic Load)'!K26,IF('CWA Entry'!A7&gt;=6,"N/A","Error"))))))</f>
        <v>116094.45277697644</v>
      </c>
      <c r="D22" s="351">
        <f>IF('CWA Entry'!A7=1,'Calculations (Toxic Load)'!K4,IF('CWA Entry'!A7=2,'Calculations (Toxic Load)'!K9,IF('CWA Entry'!A7=3,'Calculations (Toxic Load)'!K14,IF('CWA Entry'!A7=4,'Calculations (Toxic Load)'!K17,IF('CWA Entry'!A7=5,'Calculations (Toxic Load)'!K26,IF('CWA Entry'!A7&gt;=6,"N/A","Error"))))))</f>
        <v>116094.45277697644</v>
      </c>
      <c r="E22" s="72"/>
      <c r="F22" s="351" t="str">
        <f>IF('CWA Entry'!B4&lt;=29.4444,"N/A",IF('CWA Entry'!A7=1,'Calculations (Toxic Load)'!K7,IF('CWA Entry'!A7=2,'Calculations (Toxic Load)'!K12,IF('CWA Entry'!A7=3,'Calculations (Toxic Load)'!K21,IF('CWA Entry'!A7=4,'Calculations (Toxic Load)'!K24,IF('CWA Entry'!A7=5,'Calculations (Toxic Load)'!K28,IF('CWA Entry'!A7&gt;=6,"N/A","Error")))))))</f>
        <v>N/A</v>
      </c>
      <c r="G22" s="351" t="str">
        <f>IF('CWA Entry'!B4&lt;=29.4444,"N/A",IF('CWA Entry'!A7=1,'Calculations (Toxic Load)'!K7,IF('CWA Entry'!A7=2,'Calculations (Toxic Load)'!K12,IF('CWA Entry'!A7=3,'Calculations (Toxic Load)'!K21,IF('CWA Entry'!A7=4,'Calculations (Toxic Load)'!K24,IF('CWA Entry'!A7=5,'Calculations (Toxic Load)'!K28,IF('CWA Entry'!A7&gt;=6,"N/A","Error")))))))</f>
        <v>N/A</v>
      </c>
      <c r="H22" s="351" t="str">
        <f>IF('CWA Entry'!B4&lt;=29.4444,"N/A",IF('CWA Entry'!A7=1,'Calculations (Toxic Load)'!K7,IF('CWA Entry'!A7=2,'Calculations (Toxic Load)'!K12,IF('CWA Entry'!A7=3,'Calculations (Toxic Load)'!K21,IF('CWA Entry'!A7=4,'Calculations (Toxic Load)'!K24,IF('CWA Entry'!A7=5,'Calculations (Toxic Load)'!K28,IF('CWA Entry'!A7&gt;=6,"N/A","Error")))))))</f>
        <v>N/A</v>
      </c>
      <c r="I22" s="72"/>
      <c r="J22" s="70"/>
      <c r="K22" s="257"/>
      <c r="L22" s="257"/>
      <c r="M22" s="257"/>
      <c r="N22" s="257"/>
      <c r="O22" s="257"/>
      <c r="P22" s="257"/>
      <c r="Q22" s="257"/>
      <c r="R22" s="257"/>
      <c r="S22" s="257"/>
    </row>
    <row r="23" spans="1:19" ht="15" customHeight="1" thickBot="1" x14ac:dyDescent="0.25">
      <c r="A23" s="350"/>
      <c r="B23" s="352"/>
      <c r="C23" s="352"/>
      <c r="D23" s="352"/>
      <c r="E23" s="72"/>
      <c r="F23" s="352"/>
      <c r="G23" s="352"/>
      <c r="H23" s="352"/>
      <c r="I23" s="72"/>
      <c r="J23" s="70"/>
      <c r="K23" s="257"/>
      <c r="L23" s="257"/>
      <c r="M23" s="257"/>
      <c r="N23" s="257"/>
      <c r="O23" s="257"/>
      <c r="P23" s="257"/>
      <c r="Q23" s="257"/>
      <c r="R23" s="257"/>
      <c r="S23" s="257"/>
    </row>
    <row r="24" spans="1:19" ht="13.5" thickBot="1" x14ac:dyDescent="0.25">
      <c r="A24" s="92"/>
      <c r="B24" s="93"/>
      <c r="C24" s="93"/>
      <c r="D24" s="93"/>
      <c r="E24" s="93"/>
      <c r="F24" s="93"/>
      <c r="G24" s="93"/>
      <c r="H24" s="93"/>
      <c r="I24" s="93"/>
      <c r="J24" s="94"/>
      <c r="K24" s="257"/>
      <c r="L24" s="257"/>
      <c r="M24" s="257"/>
      <c r="N24" s="257"/>
      <c r="O24" s="257"/>
      <c r="P24" s="257"/>
      <c r="Q24" s="257"/>
      <c r="R24" s="257"/>
      <c r="S24" s="257"/>
    </row>
    <row r="25" spans="1:19" ht="7.5" customHeight="1" thickBot="1" x14ac:dyDescent="0.3">
      <c r="A25" s="260"/>
      <c r="B25" s="261"/>
      <c r="C25" s="257"/>
      <c r="D25" s="257"/>
      <c r="E25" s="257"/>
      <c r="F25" s="257"/>
      <c r="G25" s="257"/>
      <c r="H25" s="257"/>
      <c r="I25" s="257"/>
      <c r="J25" s="257"/>
      <c r="K25" s="257"/>
      <c r="L25" s="257"/>
      <c r="M25" s="257"/>
      <c r="N25" s="257"/>
      <c r="O25" s="257"/>
      <c r="P25" s="257"/>
      <c r="Q25" s="257"/>
      <c r="R25" s="257"/>
      <c r="S25" s="257"/>
    </row>
    <row r="26" spans="1:19" ht="18" x14ac:dyDescent="0.25">
      <c r="A26" s="146" t="s">
        <v>217</v>
      </c>
      <c r="B26" s="334" t="str">
        <f>IF('CWA Entry'!A7=1,'Calculations (Toxic Load)'!L86,IF('CWA Entry'!A7=2,'Calculations (Toxic Load)'!L99,IF('CWA Entry'!A7&lt;=4,'Calculations (Toxic Load)'!L112,IF('CWA Entry'!A7=5,'Calculations (Toxic Load)'!L125,"No AEGL for Selected Agent"))))</f>
        <v>EXCEEDS AEGL3</v>
      </c>
      <c r="C26" s="338" t="str">
        <f>IF(B26="BELOW AEGL1",'Calculations (Toxic Load)'!J131, IF(B26="EXCEEDS AEGL1",'Calculations (Toxic Load)'!J132,IF(B26="EXCEEDS AEGL2",'Calculations (Toxic Load)'!J133,IF(B26="EXCEEDS AEGL3",'Calculations (Toxic Load)'!J134,""))))</f>
        <v>Increasing cases of nausea, vomiting, then seizures and increasing possibility of fatalities.  AEGL3 is designed to protected against severely incapacitating effects.  The result is a protective AEGL 3, which may result in some reversible incapacitation, but no deaths to the general public.  Above the AEGL3, increasing cases nausea, vomiting, then seizures and increasing possibility of fatalities.</v>
      </c>
      <c r="D26" s="339"/>
      <c r="E26" s="339"/>
      <c r="F26" s="339"/>
      <c r="G26" s="339"/>
      <c r="H26" s="340"/>
      <c r="I26" s="340"/>
      <c r="J26" s="341"/>
      <c r="K26" s="257"/>
      <c r="L26" s="257"/>
      <c r="M26" s="257"/>
      <c r="N26" s="257"/>
      <c r="O26" s="257"/>
      <c r="P26" s="257"/>
      <c r="Q26" s="257"/>
      <c r="R26" s="257"/>
      <c r="S26" s="257"/>
    </row>
    <row r="27" spans="1:19" ht="60.75" customHeight="1" thickBot="1" x14ac:dyDescent="0.25">
      <c r="A27" s="293" t="s">
        <v>495</v>
      </c>
      <c r="B27" s="335"/>
      <c r="C27" s="342"/>
      <c r="D27" s="343"/>
      <c r="E27" s="343"/>
      <c r="F27" s="343"/>
      <c r="G27" s="343"/>
      <c r="H27" s="344"/>
      <c r="I27" s="344"/>
      <c r="J27" s="345"/>
      <c r="K27" s="257"/>
      <c r="L27" s="257"/>
      <c r="M27" s="257"/>
      <c r="N27" s="257"/>
      <c r="O27" s="257"/>
      <c r="P27" s="257"/>
      <c r="Q27" s="257"/>
      <c r="R27" s="257"/>
      <c r="S27" s="257"/>
    </row>
    <row r="28" spans="1:19" x14ac:dyDescent="0.2">
      <c r="A28" s="263"/>
      <c r="B28" s="263"/>
      <c r="C28" s="257"/>
      <c r="D28" s="257"/>
      <c r="E28" s="257"/>
      <c r="F28" s="257"/>
      <c r="G28" s="257"/>
      <c r="H28" s="257"/>
      <c r="I28" s="257"/>
      <c r="J28" s="257"/>
      <c r="K28" s="257"/>
      <c r="L28" s="257"/>
      <c r="M28" s="257"/>
      <c r="N28" s="257"/>
      <c r="O28" s="257"/>
      <c r="P28" s="257"/>
      <c r="Q28" s="257"/>
      <c r="R28" s="257"/>
      <c r="S28" s="257"/>
    </row>
    <row r="29" spans="1:19" x14ac:dyDescent="0.2">
      <c r="A29" s="263"/>
      <c r="B29" s="263"/>
      <c r="C29" s="257"/>
      <c r="D29" s="257"/>
      <c r="E29" s="257"/>
      <c r="F29" s="257"/>
      <c r="G29" s="257"/>
      <c r="H29" s="257"/>
      <c r="I29" s="257"/>
      <c r="J29" s="257"/>
      <c r="K29" s="257"/>
      <c r="L29" s="257"/>
      <c r="M29" s="257"/>
      <c r="N29" s="257"/>
      <c r="O29" s="257"/>
      <c r="P29" s="257"/>
      <c r="Q29" s="257"/>
      <c r="R29" s="257"/>
      <c r="S29" s="257"/>
    </row>
    <row r="30" spans="1:19" x14ac:dyDescent="0.2">
      <c r="A30" s="260"/>
      <c r="B30" s="257"/>
      <c r="C30" s="257"/>
      <c r="D30" s="257"/>
      <c r="E30" s="257"/>
      <c r="F30" s="257"/>
      <c r="G30" s="257"/>
      <c r="H30" s="257"/>
      <c r="I30" s="257"/>
      <c r="J30" s="257"/>
      <c r="K30" s="257"/>
      <c r="L30" s="257"/>
      <c r="M30" s="257"/>
      <c r="N30" s="257"/>
      <c r="O30" s="257"/>
      <c r="P30" s="257"/>
      <c r="Q30" s="257"/>
      <c r="R30" s="257"/>
      <c r="S30" s="257"/>
    </row>
    <row r="31" spans="1:19" x14ac:dyDescent="0.2">
      <c r="A31" s="260"/>
      <c r="B31" s="257"/>
      <c r="C31" s="257"/>
      <c r="D31" s="257"/>
      <c r="E31" s="257"/>
      <c r="F31" s="257"/>
      <c r="G31" s="257"/>
      <c r="H31" s="257"/>
      <c r="I31" s="257"/>
      <c r="J31" s="257"/>
      <c r="K31" s="257"/>
      <c r="L31" s="257"/>
      <c r="M31" s="257"/>
      <c r="N31" s="257"/>
      <c r="O31" s="257"/>
      <c r="P31" s="257"/>
      <c r="Q31" s="257"/>
      <c r="R31" s="257"/>
      <c r="S31" s="257"/>
    </row>
    <row r="32" spans="1:19" x14ac:dyDescent="0.2">
      <c r="A32" s="260"/>
      <c r="B32" s="257"/>
      <c r="C32" s="257"/>
      <c r="D32" s="257"/>
      <c r="E32" s="257"/>
      <c r="F32" s="257"/>
      <c r="G32" s="257"/>
      <c r="H32" s="257"/>
      <c r="I32" s="257"/>
      <c r="J32" s="257"/>
      <c r="K32" s="257"/>
      <c r="L32" s="257"/>
      <c r="M32" s="257"/>
      <c r="N32" s="257"/>
      <c r="O32" s="257"/>
      <c r="P32" s="257"/>
      <c r="Q32" s="257"/>
      <c r="R32" s="257"/>
      <c r="S32" s="257"/>
    </row>
    <row r="33" spans="1:19" x14ac:dyDescent="0.2">
      <c r="A33" s="260"/>
      <c r="B33" s="257"/>
      <c r="C33" s="257"/>
      <c r="D33" s="257"/>
      <c r="E33" s="257"/>
      <c r="F33" s="257"/>
      <c r="G33" s="257"/>
      <c r="H33" s="257"/>
      <c r="I33" s="257"/>
      <c r="J33" s="257"/>
      <c r="K33" s="257"/>
      <c r="L33" s="257"/>
      <c r="M33" s="257"/>
      <c r="N33" s="257"/>
      <c r="O33" s="257"/>
      <c r="P33" s="257"/>
      <c r="Q33" s="257"/>
      <c r="R33" s="257"/>
      <c r="S33" s="257"/>
    </row>
    <row r="34" spans="1:19" x14ac:dyDescent="0.2">
      <c r="A34" s="260"/>
      <c r="B34" s="257"/>
      <c r="C34" s="257"/>
      <c r="D34" s="257"/>
      <c r="E34" s="257"/>
      <c r="F34" s="257"/>
      <c r="G34" s="257"/>
      <c r="H34" s="257"/>
      <c r="I34" s="257"/>
      <c r="J34" s="257"/>
      <c r="K34" s="257"/>
      <c r="L34" s="257"/>
      <c r="M34" s="257"/>
      <c r="N34" s="257"/>
      <c r="O34" s="257"/>
      <c r="P34" s="257"/>
      <c r="Q34" s="257"/>
      <c r="R34" s="257"/>
      <c r="S34" s="257"/>
    </row>
    <row r="35" spans="1:19" x14ac:dyDescent="0.2">
      <c r="A35" s="260"/>
      <c r="B35" s="257"/>
      <c r="C35" s="257"/>
      <c r="D35" s="257"/>
      <c r="E35" s="257"/>
      <c r="F35" s="257"/>
      <c r="G35" s="257"/>
      <c r="H35" s="257"/>
      <c r="I35" s="257"/>
      <c r="J35" s="257"/>
      <c r="K35" s="257"/>
      <c r="L35" s="257"/>
      <c r="M35" s="257"/>
      <c r="N35" s="257"/>
      <c r="O35" s="257"/>
      <c r="P35" s="257"/>
      <c r="Q35" s="257"/>
      <c r="R35" s="257"/>
      <c r="S35" s="257"/>
    </row>
    <row r="36" spans="1:19" x14ac:dyDescent="0.2">
      <c r="A36" s="260"/>
      <c r="B36" s="257"/>
      <c r="C36" s="257"/>
      <c r="D36" s="257"/>
      <c r="E36" s="257"/>
      <c r="F36" s="257"/>
      <c r="G36" s="257"/>
      <c r="H36" s="257"/>
      <c r="I36" s="257"/>
      <c r="J36" s="257"/>
      <c r="K36" s="257"/>
      <c r="L36" s="257"/>
      <c r="M36" s="257"/>
      <c r="N36" s="257"/>
      <c r="O36" s="257"/>
      <c r="P36" s="257"/>
      <c r="Q36" s="257"/>
      <c r="R36" s="257"/>
      <c r="S36" s="257"/>
    </row>
    <row r="37" spans="1:19" x14ac:dyDescent="0.2">
      <c r="A37" s="260"/>
      <c r="B37" s="257"/>
      <c r="C37" s="257"/>
      <c r="D37" s="257"/>
      <c r="E37" s="257"/>
      <c r="F37" s="257"/>
      <c r="G37" s="257"/>
      <c r="H37" s="257"/>
      <c r="I37" s="257"/>
      <c r="J37" s="257"/>
      <c r="K37" s="257"/>
      <c r="L37" s="257"/>
      <c r="M37" s="257"/>
      <c r="N37" s="257"/>
      <c r="O37" s="257"/>
      <c r="P37" s="257"/>
      <c r="Q37" s="257"/>
      <c r="R37" s="257"/>
      <c r="S37" s="257"/>
    </row>
    <row r="38" spans="1:19" x14ac:dyDescent="0.2">
      <c r="A38" s="260"/>
      <c r="B38" s="257"/>
      <c r="C38" s="257"/>
      <c r="D38" s="257"/>
      <c r="E38" s="257"/>
      <c r="F38" s="257"/>
      <c r="G38" s="257"/>
      <c r="H38" s="257"/>
      <c r="I38" s="257"/>
      <c r="J38" s="257"/>
      <c r="K38" s="257"/>
      <c r="L38" s="257"/>
      <c r="M38" s="257"/>
      <c r="N38" s="257"/>
      <c r="O38" s="257"/>
      <c r="P38" s="257"/>
      <c r="Q38" s="257"/>
      <c r="R38" s="257"/>
      <c r="S38" s="257"/>
    </row>
    <row r="39" spans="1:19" x14ac:dyDescent="0.2">
      <c r="A39" s="260"/>
      <c r="B39" s="257"/>
      <c r="C39" s="257"/>
      <c r="D39" s="257"/>
      <c r="E39" s="257"/>
      <c r="F39" s="257"/>
      <c r="G39" s="257"/>
      <c r="H39" s="257"/>
      <c r="I39" s="257"/>
      <c r="J39" s="257"/>
      <c r="K39" s="257"/>
      <c r="L39" s="257"/>
      <c r="M39" s="257"/>
      <c r="N39" s="257"/>
      <c r="O39" s="257"/>
      <c r="P39" s="257"/>
      <c r="Q39" s="257"/>
      <c r="R39" s="257"/>
      <c r="S39" s="257"/>
    </row>
    <row r="40" spans="1:19" x14ac:dyDescent="0.2">
      <c r="A40" s="260"/>
      <c r="B40" s="257"/>
      <c r="C40" s="257"/>
      <c r="D40" s="257"/>
      <c r="E40" s="257"/>
      <c r="F40" s="257"/>
      <c r="G40" s="257"/>
      <c r="H40" s="257"/>
      <c r="I40" s="257"/>
      <c r="J40" s="257"/>
      <c r="K40" s="257"/>
      <c r="L40" s="257"/>
      <c r="M40" s="257"/>
      <c r="N40" s="257"/>
      <c r="O40" s="257"/>
      <c r="P40" s="257"/>
      <c r="Q40" s="257"/>
      <c r="R40" s="257"/>
      <c r="S40" s="257"/>
    </row>
    <row r="41" spans="1:19" x14ac:dyDescent="0.2">
      <c r="A41" s="260"/>
      <c r="B41" s="257"/>
      <c r="C41" s="257"/>
      <c r="D41" s="257"/>
      <c r="E41" s="257"/>
      <c r="F41" s="257"/>
      <c r="G41" s="257"/>
      <c r="H41" s="257"/>
      <c r="I41" s="257"/>
      <c r="J41" s="257"/>
      <c r="K41" s="257"/>
      <c r="L41" s="257"/>
      <c r="M41" s="257"/>
      <c r="N41" s="257"/>
      <c r="O41" s="257"/>
      <c r="P41" s="257"/>
      <c r="Q41" s="257"/>
      <c r="R41" s="257"/>
      <c r="S41" s="257"/>
    </row>
  </sheetData>
  <sheetProtection sheet="1" objects="1" scenarios="1" selectLockedCells="1" selectUnlockedCells="1"/>
  <mergeCells count="28">
    <mergeCell ref="D15:D16"/>
    <mergeCell ref="H8:H9"/>
    <mergeCell ref="A6:A7"/>
    <mergeCell ref="F22:F23"/>
    <mergeCell ref="G22:G23"/>
    <mergeCell ref="H22:H23"/>
    <mergeCell ref="F16:H17"/>
    <mergeCell ref="A20:A21"/>
    <mergeCell ref="F8:F9"/>
    <mergeCell ref="G8:G9"/>
    <mergeCell ref="A1:J1"/>
    <mergeCell ref="A22:A23"/>
    <mergeCell ref="B22:B23"/>
    <mergeCell ref="C22:C23"/>
    <mergeCell ref="D22:D23"/>
    <mergeCell ref="A15:A16"/>
    <mergeCell ref="B15:B16"/>
    <mergeCell ref="C15:C16"/>
    <mergeCell ref="B26:B27"/>
    <mergeCell ref="F11:I11"/>
    <mergeCell ref="C26:J27"/>
    <mergeCell ref="A3:D3"/>
    <mergeCell ref="F3:H3"/>
    <mergeCell ref="A13:A14"/>
    <mergeCell ref="A8:A9"/>
    <mergeCell ref="B8:B9"/>
    <mergeCell ref="C8:C9"/>
    <mergeCell ref="D8:D9"/>
  </mergeCells>
  <phoneticPr fontId="18" type="noConversion"/>
  <conditionalFormatting sqref="B26">
    <cfRule type="cellIs" dxfId="62" priority="1" stopIfTrue="1" operator="equal">
      <formula>"EXCEEDS AEGL3"</formula>
    </cfRule>
    <cfRule type="cellIs" dxfId="61" priority="2" stopIfTrue="1" operator="equal">
      <formula>"BELOW AEGL1"</formula>
    </cfRule>
    <cfRule type="cellIs" dxfId="60" priority="3" stopIfTrue="1" operator="between">
      <formula>"EXCEEDS AEGL1"</formula>
      <formula>"EXCEEDS AEGL2"</formula>
    </cfRule>
  </conditionalFormatting>
  <conditionalFormatting sqref="A5:A9 B6:D7 E4:E9 I4:J9 A13:D14 B18:D18 F20:H21 B11:D11 B4:D4 F4:H4 F18:H18 B20:D21 F6:H7 A15:A16 A20:A23">
    <cfRule type="cellIs" priority="4" stopIfTrue="1" operator="greaterThanOrEqual">
      <formula>6</formula>
    </cfRule>
  </conditionalFormatting>
  <conditionalFormatting sqref="B5:D5 B12:D12 B19:D19 F5:H5 F19:H19">
    <cfRule type="cellIs" dxfId="59" priority="5" stopIfTrue="1" operator="equal">
      <formula>"&gt;84%"</formula>
    </cfRule>
  </conditionalFormatting>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9236" r:id="rId4" name="CommandButton1">
          <controlPr autoLine="0" r:id="rId5">
            <anchor moveWithCells="1">
              <from>
                <xdr:col>6</xdr:col>
                <xdr:colOff>876300</xdr:colOff>
                <xdr:row>10</xdr:row>
                <xdr:rowOff>76200</xdr:rowOff>
              </from>
              <to>
                <xdr:col>7</xdr:col>
                <xdr:colOff>1019175</xdr:colOff>
                <xdr:row>12</xdr:row>
                <xdr:rowOff>9525</xdr:rowOff>
              </to>
            </anchor>
          </controlPr>
        </control>
      </mc:Choice>
      <mc:Fallback>
        <control shapeId="9236" r:id="rId4" name="CommandButton1"/>
      </mc:Fallback>
    </mc:AlternateContent>
    <mc:AlternateContent xmlns:mc="http://schemas.openxmlformats.org/markup-compatibility/2006">
      <mc:Choice Requires="x14">
        <control shapeId="9217" r:id="rId6" name="ReturnCWAEntry">
          <controlPr autoLine="0" r:id="rId7">
            <anchor moveWithCells="1">
              <from>
                <xdr:col>5</xdr:col>
                <xdr:colOff>0</xdr:colOff>
                <xdr:row>10</xdr:row>
                <xdr:rowOff>85725</xdr:rowOff>
              </from>
              <to>
                <xdr:col>6</xdr:col>
                <xdr:colOff>485775</xdr:colOff>
                <xdr:row>12</xdr:row>
                <xdr:rowOff>28575</xdr:rowOff>
              </to>
            </anchor>
          </controlPr>
        </control>
      </mc:Choice>
      <mc:Fallback>
        <control shapeId="9217" r:id="rId6" name="ReturnCWAEntry"/>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P42"/>
  <sheetViews>
    <sheetView showGridLines="0" showRowColHeaders="0" workbookViewId="0">
      <selection activeCell="F16" sqref="F16:H17"/>
    </sheetView>
  </sheetViews>
  <sheetFormatPr defaultRowHeight="12.75" x14ac:dyDescent="0.2"/>
  <cols>
    <col min="1" max="1" width="31" customWidth="1"/>
    <col min="2" max="2" width="15.7109375" customWidth="1"/>
    <col min="3" max="3" width="17.28515625" customWidth="1"/>
    <col min="4" max="4" width="17.140625" customWidth="1"/>
    <col min="5" max="5" width="9.5703125" customWidth="1"/>
    <col min="6" max="6" width="15" customWidth="1"/>
    <col min="7" max="7" width="16.28515625" customWidth="1"/>
    <col min="8" max="8" width="15.140625" customWidth="1"/>
    <col min="9" max="9" width="3.7109375" style="125" customWidth="1"/>
    <col min="10" max="10" width="1.85546875" style="125" customWidth="1"/>
  </cols>
  <sheetData>
    <row r="1" spans="1:16" ht="27.75" customHeight="1" x14ac:dyDescent="0.2">
      <c r="A1" s="353" t="s">
        <v>159</v>
      </c>
      <c r="B1" s="354"/>
      <c r="C1" s="354"/>
      <c r="D1" s="355"/>
      <c r="E1" s="355"/>
      <c r="F1" s="355"/>
      <c r="G1" s="355"/>
      <c r="H1" s="355"/>
      <c r="I1" s="355"/>
      <c r="J1" s="356"/>
      <c r="K1" s="257"/>
      <c r="L1" s="257"/>
      <c r="M1" s="257"/>
      <c r="N1" s="257"/>
      <c r="O1" s="257"/>
      <c r="P1" s="257"/>
    </row>
    <row r="2" spans="1:16" ht="7.5" customHeight="1" x14ac:dyDescent="0.2">
      <c r="A2" s="204"/>
      <c r="B2" s="205"/>
      <c r="C2" s="205"/>
      <c r="D2" s="81"/>
      <c r="E2" s="81"/>
      <c r="F2" s="81"/>
      <c r="G2" s="81"/>
      <c r="H2" s="81"/>
      <c r="I2" s="81"/>
      <c r="J2" s="79"/>
      <c r="K2" s="257"/>
      <c r="L2" s="257"/>
      <c r="M2" s="257"/>
      <c r="N2" s="257"/>
      <c r="O2" s="257"/>
      <c r="P2" s="257"/>
    </row>
    <row r="3" spans="1:16" ht="26.25" thickBot="1" x14ac:dyDescent="0.4">
      <c r="A3" s="346" t="s">
        <v>202</v>
      </c>
      <c r="B3" s="357"/>
      <c r="C3" s="357"/>
      <c r="D3" s="357"/>
      <c r="E3" s="91"/>
      <c r="F3" s="348" t="s">
        <v>203</v>
      </c>
      <c r="G3" s="348"/>
      <c r="H3" s="348"/>
      <c r="I3" s="72"/>
      <c r="J3" s="70"/>
      <c r="K3" s="257"/>
      <c r="L3" s="257"/>
      <c r="M3" s="257"/>
      <c r="N3" s="257"/>
      <c r="O3" s="257"/>
      <c r="P3" s="257"/>
    </row>
    <row r="4" spans="1:16" ht="26.25" thickBot="1" x14ac:dyDescent="0.25">
      <c r="A4" s="148" t="s">
        <v>160</v>
      </c>
      <c r="B4" s="75" t="s">
        <v>192</v>
      </c>
      <c r="C4" s="75" t="s">
        <v>148</v>
      </c>
      <c r="D4" s="75" t="s">
        <v>147</v>
      </c>
      <c r="E4" s="137"/>
      <c r="F4" s="75" t="s">
        <v>226</v>
      </c>
      <c r="G4" s="75" t="s">
        <v>227</v>
      </c>
      <c r="H4" s="75" t="s">
        <v>228</v>
      </c>
      <c r="I4" s="72"/>
      <c r="J4" s="70"/>
      <c r="K4" s="257"/>
      <c r="L4" s="257"/>
      <c r="M4" s="257"/>
      <c r="N4" s="257"/>
      <c r="O4" s="257"/>
      <c r="P4" s="257"/>
    </row>
    <row r="5" spans="1:16" ht="13.5" thickBot="1" x14ac:dyDescent="0.25">
      <c r="A5" s="149" t="s">
        <v>126</v>
      </c>
      <c r="B5" s="281" t="str">
        <f>IF('CWA Entry'!A7=6,'Calculations (Toxic Load)'!N32,"N/A")</f>
        <v>N/A</v>
      </c>
      <c r="C5" s="281" t="str">
        <f>IF('CWA Entry'!A7=6,'Calculations (Toxic Load)'!M32,"N/A")</f>
        <v>N/A</v>
      </c>
      <c r="D5" s="281" t="str">
        <f>IF('CWA Entry'!A7=6,'Calculations (Toxic Load)'!L30,"N/A")</f>
        <v>N/A</v>
      </c>
      <c r="E5" s="139"/>
      <c r="F5" s="281" t="str">
        <f>IF('CWA Entry'!B4&gt;29.4444,"N/A",IF('CWA Entry'!A7=6,'Calculations (Toxic Load)'!N34,"N/A"))</f>
        <v>N/A</v>
      </c>
      <c r="G5" s="281" t="str">
        <f>IF('CWA Entry'!B4&gt;29.4444,"N/A",IF('CWA Entry'!A7=6,'Calculations (Toxic Load)'!M34,"N/A"))</f>
        <v>N/A</v>
      </c>
      <c r="H5" s="281" t="str">
        <f>IF('CWA Entry'!B4&gt;29.4444,"N/A",IF('CWA Entry'!A7=6,'Calculations (Toxic Load)'!L34,"N/A"))</f>
        <v>N/A</v>
      </c>
      <c r="I5" s="72"/>
      <c r="J5" s="70"/>
      <c r="K5" s="257"/>
      <c r="L5" s="257"/>
      <c r="M5" s="257"/>
      <c r="N5" s="257"/>
      <c r="O5" s="257"/>
      <c r="P5" s="257"/>
    </row>
    <row r="6" spans="1:16" ht="15" customHeight="1" x14ac:dyDescent="0.2">
      <c r="A6" s="349" t="s">
        <v>488</v>
      </c>
      <c r="B6" s="76" t="str">
        <f>IF(B5="&lt;16%","TH16 Dose",IF(B5="&gt;16%&lt;30%","TH30 Dose",IF(B5="&gt;30%&lt;40%","TH40 Dose",IF(B5="&gt;40%&lt;50%","TH50 Dose",IF(B5="&gt;50%&lt;60%","TH60 Dose",IF(B5="&gt;60%&lt;70%","TH70 Dose",IF(OR(B5="&gt;70%&lt;84%",B5="&gt;84%"),"TH84 Dose","N/A")))))))</f>
        <v>N/A</v>
      </c>
      <c r="C6" s="76" t="str">
        <f>IF(C5="&lt;16%","EC16 Dose",IF(C5="&gt;16%&lt;30%","EC30 Dose",IF(C5="&gt;30%&lt;40%","EC40 Dose",IF(C5="&gt;40%&lt;50%","EC50 Dose",IF(C5="&gt;50%&lt;60%","EC60 Dose",IF(C5="&gt;60%&lt;70%","EC70 Dose",IF(OR(C5="&gt;70%&lt;84%",C5="&gt;84%"),"EC84 Dose","N/A")))))))</f>
        <v>N/A</v>
      </c>
      <c r="D6" s="76" t="str">
        <f>IF(D5="&lt;16%","LC16 Dose",IF(D5="&gt;16%&lt;30%","LC30 Dose",IF(D5="&gt;30%&lt;40%","LC40 Dose",IF(D5="&gt;40%&lt;50%","LC50 Dose",IF(D5="&gt;50%&lt;60%","LC60 Dose",IF(D5="&gt;60%&lt;70%","LC70 Dose",IF(OR(D5="&gt;70%&lt;84%",D5="&gt;84%"),"LC84 Dose","N/A")))))))</f>
        <v>N/A</v>
      </c>
      <c r="E6" s="139"/>
      <c r="F6" s="76" t="str">
        <f>IF(F5="&lt;16%","TH16 Dose",IF(F5="&gt;16%&lt;30%","TH30 Dose",IF(F5="&gt;30%&lt;40%","TH40 Dose",IF(F5="&gt;40%&lt;50%","TH50 Dose",IF(F5="&gt;50%&lt;60%","TH60 Dose",IF(F5="&gt;60%&lt;70%","TH70 Dose",IF(OR(F5="&gt;70%&lt;84%",F5="&gt;84%"),"TH84 Dose","N/A")))))))</f>
        <v>N/A</v>
      </c>
      <c r="G6" s="76" t="str">
        <f>IF(G5="&lt;16%","EC16 Dose",IF(G5="&gt;16%&lt;30%","EC30 Dose",IF(G5="&gt;30%&lt;40%","EC40 Dose",IF(G5="&gt;40%&lt;50%","EC50 Dose",IF(G5="&gt;50%&lt;60%","EC60 Dose",IF(G5="&gt;60%&lt;70%","EC70 Dose",IF(OR(G5="&gt;70%&lt;84%",G5="&gt;84%"),"EC84 Dose","N/A")))))))</f>
        <v>N/A</v>
      </c>
      <c r="H6" s="76" t="str">
        <f>IF(H5="&lt;16%","LC16 Dose",IF(H5="&gt;16%&lt;30%","LC30 Dose",IF(H5="&gt;30%&lt;40%","LC40 Dose",IF(H5="&gt;40%&lt;50%","LC50 Dose",IF(H5="&gt;50%&lt;60%","LC60 Dose",IF(H5="&gt;60%&lt;70%","LC70 Dose",IF(OR(H5="&gt;70%&lt;84%",H5="&gt;84%"),"LC84 Dose","N/A")))))))</f>
        <v>N/A</v>
      </c>
      <c r="I6" s="72"/>
      <c r="J6" s="70"/>
      <c r="K6" s="257"/>
      <c r="L6" s="257"/>
      <c r="M6" s="257"/>
      <c r="N6" s="257"/>
      <c r="O6" s="257"/>
      <c r="P6" s="257"/>
    </row>
    <row r="7" spans="1:16" ht="15" customHeight="1" thickBot="1" x14ac:dyDescent="0.25">
      <c r="A7" s="349"/>
      <c r="B7" s="78" t="str">
        <f>IF('CWA Entry'!A7=6,'Calculations (Toxic Load)'!Q32,"N/A")</f>
        <v>N/A</v>
      </c>
      <c r="C7" s="78" t="str">
        <f>IF('CWA Entry'!A7=6,'Calculations (Toxic Load)'!P32,"N/A")</f>
        <v>N/A</v>
      </c>
      <c r="D7" s="78" t="str">
        <f>IF('CWA Entry'!A7=6,'Calculations (Toxic Load)'!O30,"N/A")</f>
        <v>N/A</v>
      </c>
      <c r="E7" s="142"/>
      <c r="F7" s="78" t="str">
        <f>IF('CWA Entry'!B4&gt;29.4444,"N/A",IF('CWA Entry'!A7=6,'Calculations (Toxic Load)'!Q34,"N/A"))</f>
        <v>N/A</v>
      </c>
      <c r="G7" s="78" t="str">
        <f>IF('CWA Entry'!B4&gt;29.4444,"N/A",IF('CWA Entry'!A7=6,'Calculations (Toxic Load)'!P34,"N/A"))</f>
        <v>N/A</v>
      </c>
      <c r="H7" s="78" t="str">
        <f>IF('CWA Entry'!B4&gt;29.4444,"N/A",IF('CWA Entry'!A7=6,'Calculations (Toxic Load)'!O34,"N/A"))</f>
        <v>N/A</v>
      </c>
      <c r="I7" s="72"/>
      <c r="J7" s="70"/>
      <c r="K7" s="257"/>
      <c r="L7" s="257"/>
      <c r="M7" s="257"/>
      <c r="N7" s="257"/>
      <c r="O7" s="257"/>
      <c r="P7" s="257"/>
    </row>
    <row r="8" spans="1:16" ht="15" customHeight="1" x14ac:dyDescent="0.2">
      <c r="A8" s="350" t="s">
        <v>487</v>
      </c>
      <c r="B8" s="360" t="str">
        <f>IF('CWA Entry'!A7=6,'Calculations (Toxic Load)'!K32,"N/A")</f>
        <v>N/A</v>
      </c>
      <c r="C8" s="360" t="str">
        <f>IF('CWA Entry'!A7=6,'Calculations (Toxic Load)'!K32,"N/A")</f>
        <v>N/A</v>
      </c>
      <c r="D8" s="360" t="str">
        <f>IF('CWA Entry'!A7=6,'Calculations (Toxic Load)'!K30,"N/A")</f>
        <v>N/A</v>
      </c>
      <c r="E8" s="143"/>
      <c r="F8" s="360" t="str">
        <f>IF('CWA Entry'!B4&gt;29.4444,"N/A - HOT",IF('CWA Entry'!A7=6,'Calculations (Toxic Load)'!K34,"N/A"))</f>
        <v>N/A</v>
      </c>
      <c r="G8" s="360" t="str">
        <f>IF('CWA Entry'!B4&gt;29.4444,"N/A - HOT",IF('CWA Entry'!A7=6,'Calculations (Toxic Load)'!K34,"N/A"))</f>
        <v>N/A</v>
      </c>
      <c r="H8" s="360" t="str">
        <f>IF('CWA Entry'!B4&gt;29.4444,"N/A - HOT",IF('CWA Entry'!A7=6,'Calculations (Toxic Load)'!K34,"N/A"))</f>
        <v>N/A</v>
      </c>
      <c r="I8" s="72"/>
      <c r="J8" s="70"/>
      <c r="K8" s="257"/>
      <c r="L8" s="257"/>
      <c r="M8" s="257"/>
      <c r="N8" s="257"/>
      <c r="O8" s="257"/>
      <c r="P8" s="257"/>
    </row>
    <row r="9" spans="1:16" ht="15" customHeight="1" thickBot="1" x14ac:dyDescent="0.25">
      <c r="A9" s="350"/>
      <c r="B9" s="361"/>
      <c r="C9" s="361"/>
      <c r="D9" s="361"/>
      <c r="E9" s="143"/>
      <c r="F9" s="361"/>
      <c r="G9" s="361"/>
      <c r="H9" s="361"/>
      <c r="I9" s="72"/>
      <c r="J9" s="70"/>
      <c r="K9" s="257"/>
      <c r="L9" s="257"/>
      <c r="M9" s="257"/>
      <c r="N9" s="257"/>
      <c r="O9" s="257"/>
      <c r="P9" s="257"/>
    </row>
    <row r="10" spans="1:16" ht="14.25" customHeight="1" thickBot="1" x14ac:dyDescent="0.3">
      <c r="A10" s="86"/>
      <c r="B10" s="72"/>
      <c r="C10" s="72"/>
      <c r="D10" s="72"/>
      <c r="E10" s="72"/>
      <c r="F10" s="72"/>
      <c r="G10" s="72"/>
      <c r="H10" s="72"/>
      <c r="I10" s="72"/>
      <c r="J10" s="70"/>
      <c r="K10" s="257"/>
      <c r="L10" s="257"/>
      <c r="M10" s="257"/>
      <c r="N10" s="257"/>
      <c r="O10" s="257"/>
      <c r="P10" s="257"/>
    </row>
    <row r="11" spans="1:16" s="69" customFormat="1" ht="33" customHeight="1" thickBot="1" x14ac:dyDescent="0.25">
      <c r="A11" s="148" t="s">
        <v>161</v>
      </c>
      <c r="B11" s="75" t="s">
        <v>192</v>
      </c>
      <c r="C11" s="75" t="s">
        <v>148</v>
      </c>
      <c r="D11" s="75" t="s">
        <v>147</v>
      </c>
      <c r="E11" s="137"/>
      <c r="F11" s="143"/>
      <c r="G11" s="143"/>
      <c r="H11" s="143"/>
      <c r="I11" s="143"/>
      <c r="J11" s="150"/>
      <c r="K11" s="259"/>
      <c r="L11" s="259"/>
      <c r="M11" s="259"/>
      <c r="N11" s="259"/>
      <c r="O11" s="259"/>
      <c r="P11" s="259"/>
    </row>
    <row r="12" spans="1:16" ht="13.5" thickBot="1" x14ac:dyDescent="0.25">
      <c r="A12" s="149" t="s">
        <v>126</v>
      </c>
      <c r="B12" s="281" t="str">
        <f>IF('CWA Entry'!A7=6,'Calculations (Toxic Load)'!N32,"N/A")</f>
        <v>N/A</v>
      </c>
      <c r="C12" s="281" t="str">
        <f>IF('CWA Entry'!A7=6,'Calculations (Toxic Load)'!M32,"N/A")</f>
        <v>N/A</v>
      </c>
      <c r="D12" s="281" t="str">
        <f>IF('CWA Entry'!A7=6,'Calculations (Toxic Load)'!L55,"N/A")</f>
        <v>N/A</v>
      </c>
      <c r="E12" s="138"/>
      <c r="F12" s="72"/>
      <c r="G12" s="72"/>
      <c r="H12" s="72"/>
      <c r="I12" s="72"/>
      <c r="J12" s="70"/>
      <c r="K12" s="257"/>
      <c r="L12" s="257"/>
      <c r="M12" s="257"/>
      <c r="N12" s="257"/>
      <c r="O12" s="257"/>
      <c r="P12" s="257"/>
    </row>
    <row r="13" spans="1:16" s="69" customFormat="1" ht="15" customHeight="1" x14ac:dyDescent="0.2">
      <c r="A13" s="349" t="s">
        <v>488</v>
      </c>
      <c r="B13" s="76" t="str">
        <f>IF(B12="&lt;16%","TH16 Dose",IF(B12="&gt;16%&lt;30%","TH30 Dose",IF(B12="&gt;30%&lt;40%","TH40 Dose",IF(B12="&gt;40%&lt;50%","TH50 Dose",IF(B12="&gt;50%&lt;60%","TH60 Dose",IF(B12="&gt;60%&lt;70%","TH70 Dose",IF(OR(B12="&gt;70%&lt;84%",B12="&gt;84%"),"TH84 Dose","N/A")))))))</f>
        <v>N/A</v>
      </c>
      <c r="C13" s="76" t="str">
        <f>IF(C12="&lt;16%","EC16 Dose",IF(C12="&gt;16%&lt;30%","EC30 Dose",IF(C12="&gt;30%&lt;40%","EC40 Dose",IF(C12="&gt;40%&lt;50%","EC50 Dose",IF(C12="&gt;50%&lt;60%","EC60 Dose",IF(C12="&gt;60%&lt;70%","EC70 Dose",IF(OR(C12="&gt;70%&lt;84%",C12="&gt;84%"),"EC84 Dose","N/A")))))))</f>
        <v>N/A</v>
      </c>
      <c r="D13" s="76" t="str">
        <f>IF(D12="&lt;16%","LC16 Dose",IF(D12="&gt;16%&lt;30%","LC30 Dose",IF(D12="&gt;30%&lt;40%","LC40 Dose",IF(D12="&gt;40%&lt;50%","LC50 Dose",IF(D12="&gt;50%&lt;60%","LC60 Dose",IF(D12="&gt;60%&lt;70%","LC70 Dose",IF(OR(D12="&gt;70%&lt;84%",D12="&gt;84%"),"LC84 Dose","N/A")))))))</f>
        <v>N/A</v>
      </c>
      <c r="E13" s="139"/>
      <c r="F13" s="72"/>
      <c r="G13" s="72"/>
      <c r="H13" s="72"/>
      <c r="I13" s="72"/>
      <c r="J13" s="70"/>
      <c r="K13" s="259"/>
      <c r="L13" s="259"/>
      <c r="M13" s="259"/>
      <c r="N13" s="259"/>
      <c r="O13" s="259"/>
      <c r="P13" s="259"/>
    </row>
    <row r="14" spans="1:16" ht="15" customHeight="1" thickBot="1" x14ac:dyDescent="0.25">
      <c r="A14" s="349"/>
      <c r="B14" s="78" t="str">
        <f>IF('CWA Entry'!A7=6,'Calculations (Toxic Load)'!Q32,"N/A")</f>
        <v>N/A</v>
      </c>
      <c r="C14" s="78" t="str">
        <f>IF('CWA Entry'!A7=6,'Calculations (Toxic Load)'!P32,"N/A")</f>
        <v>N/A</v>
      </c>
      <c r="D14" s="78" t="str">
        <f>IF('CWA Entry'!A7=6,'Calculations (Toxic Load)'!O55,"N/A")</f>
        <v>N/A</v>
      </c>
      <c r="E14" s="140"/>
      <c r="F14" s="72"/>
      <c r="G14" s="72"/>
      <c r="H14" s="72"/>
      <c r="I14" s="72"/>
      <c r="J14" s="70"/>
      <c r="K14" s="257"/>
      <c r="L14" s="257"/>
      <c r="M14" s="257"/>
      <c r="N14" s="257"/>
      <c r="O14" s="257"/>
      <c r="P14" s="257"/>
    </row>
    <row r="15" spans="1:16" ht="15" customHeight="1" x14ac:dyDescent="0.2">
      <c r="A15" s="350" t="s">
        <v>487</v>
      </c>
      <c r="B15" s="358" t="str">
        <f>IF('CWA Entry'!A7=6,'Calculations (Toxic Load)'!K32,"N/A")</f>
        <v>N/A</v>
      </c>
      <c r="C15" s="358" t="str">
        <f>IF('CWA Entry'!A7=6,'Calculations (Toxic Load)'!K32,"N/A")</f>
        <v>N/A</v>
      </c>
      <c r="D15" s="358" t="str">
        <f>IF('CWA Entry'!A7=6,'Calculations (Toxic Load)'!K55,"N/A")</f>
        <v>N/A</v>
      </c>
      <c r="E15" s="141"/>
      <c r="F15" s="72"/>
      <c r="G15" s="72"/>
      <c r="H15" s="72"/>
      <c r="I15" s="72"/>
      <c r="J15" s="70"/>
      <c r="K15" s="257"/>
      <c r="L15" s="257"/>
      <c r="M15" s="257"/>
      <c r="N15" s="257"/>
      <c r="O15" s="257"/>
      <c r="P15" s="257"/>
    </row>
    <row r="16" spans="1:16" ht="15" customHeight="1" thickBot="1" x14ac:dyDescent="0.25">
      <c r="A16" s="350"/>
      <c r="B16" s="359"/>
      <c r="C16" s="359"/>
      <c r="D16" s="359"/>
      <c r="E16" s="141"/>
      <c r="F16" s="357" t="s">
        <v>204</v>
      </c>
      <c r="G16" s="357"/>
      <c r="H16" s="357"/>
      <c r="I16" s="72"/>
      <c r="J16" s="70"/>
      <c r="K16" s="257"/>
      <c r="L16" s="257"/>
      <c r="M16" s="257"/>
      <c r="N16" s="257"/>
      <c r="O16" s="257"/>
      <c r="P16" s="257"/>
    </row>
    <row r="17" spans="1:16" ht="13.5" thickBot="1" x14ac:dyDescent="0.25">
      <c r="A17" s="87"/>
      <c r="B17" s="74"/>
      <c r="C17" s="74"/>
      <c r="D17" s="74"/>
      <c r="E17" s="72"/>
      <c r="F17" s="348"/>
      <c r="G17" s="348"/>
      <c r="H17" s="348"/>
      <c r="I17" s="72"/>
      <c r="J17" s="70"/>
      <c r="K17" s="257"/>
      <c r="L17" s="257"/>
      <c r="M17" s="257"/>
      <c r="N17" s="257"/>
      <c r="O17" s="257"/>
      <c r="P17" s="257"/>
    </row>
    <row r="18" spans="1:16" s="69" customFormat="1" ht="26.25" thickBot="1" x14ac:dyDescent="0.25">
      <c r="A18" s="148" t="s">
        <v>162</v>
      </c>
      <c r="B18" s="75" t="s">
        <v>192</v>
      </c>
      <c r="C18" s="75" t="s">
        <v>148</v>
      </c>
      <c r="D18" s="75" t="s">
        <v>147</v>
      </c>
      <c r="E18" s="137"/>
      <c r="F18" s="75" t="s">
        <v>226</v>
      </c>
      <c r="G18" s="75" t="s">
        <v>227</v>
      </c>
      <c r="H18" s="75" t="s">
        <v>228</v>
      </c>
      <c r="I18" s="72"/>
      <c r="J18" s="70"/>
      <c r="K18" s="259"/>
      <c r="L18" s="259"/>
      <c r="M18" s="259"/>
      <c r="N18" s="259"/>
      <c r="O18" s="259"/>
      <c r="P18" s="259"/>
    </row>
    <row r="19" spans="1:16" ht="13.5" thickBot="1" x14ac:dyDescent="0.25">
      <c r="A19" s="149" t="s">
        <v>126</v>
      </c>
      <c r="B19" s="281" t="str">
        <f>IF('CWA Entry'!A7=6,'Calculations (Toxic Load)'!N32,"N/A")</f>
        <v>N/A</v>
      </c>
      <c r="C19" s="281" t="str">
        <f>IF('CWA Entry'!A7=6,'Calculations (Toxic Load)'!M32,"N/A")</f>
        <v>N/A</v>
      </c>
      <c r="D19" s="281" t="str">
        <f>IF('CWA Entry'!A7=6,'Calculations (Toxic Load)'!L75,"N/A")</f>
        <v>N/A</v>
      </c>
      <c r="E19" s="138"/>
      <c r="F19" s="281" t="str">
        <f>IF('CWA Entry'!B4&lt;=29.4444,"N/A",IF('CWA Entry'!A7=6,'Calculations (Toxic Load)'!N36,"N/A"))</f>
        <v>N/A</v>
      </c>
      <c r="G19" s="281" t="str">
        <f>IF('CWA Entry'!B4&lt;=29.4444,"N/A",IF('CWA Entry'!A7=6,'Calculations (Toxic Load)'!M36,"N/A"))</f>
        <v>N/A</v>
      </c>
      <c r="H19" s="281" t="str">
        <f>IF('CWA Entry'!B4&lt;=29.4444,"N/A",IF('CWA Entry'!A7=6,'Calculations (Toxic Load)'!L36,"N/A"))</f>
        <v>N/A</v>
      </c>
      <c r="I19" s="72"/>
      <c r="J19" s="70"/>
      <c r="K19" s="257"/>
      <c r="L19" s="257"/>
      <c r="M19" s="257"/>
      <c r="N19" s="257"/>
      <c r="O19" s="257"/>
      <c r="P19" s="257"/>
    </row>
    <row r="20" spans="1:16" s="69" customFormat="1" ht="15" customHeight="1" x14ac:dyDescent="0.2">
      <c r="A20" s="349" t="s">
        <v>488</v>
      </c>
      <c r="B20" s="76" t="str">
        <f>IF(B19="&lt;16%","TH16 Dose",IF(B19="&gt;16%&lt;30%","TH30 Dose",IF(B19="&gt;30%&lt;40%","TH40 Dose",IF(B19="&gt;40%&lt;50%","TH50 Dose",IF(B19="&gt;50%&lt;60%","TH60 Dose",IF(B19="&gt;60%&lt;70%","TH70 Dose",IF(OR(B19="&gt;70%&lt;84%",B19="&gt;84%"),"TH84 Dose","N/A")))))))</f>
        <v>N/A</v>
      </c>
      <c r="C20" s="76" t="str">
        <f>IF(C19="&lt;16%","EC16 Dose",IF(C19="&gt;16%&lt;30%","EC30 Dose",IF(C19="&gt;30%&lt;40%","EC40 Dose",IF(C19="&gt;40%&lt;50%","EC50 Dose",IF(C19="&gt;50%&lt;60%","EC60 Dose",IF(C19="&gt;60%&lt;70%","EC70 Dose",IF(OR(C19="&gt;70%&lt;84%",C19="&gt;84%"),"EC84 Dose","N/A")))))))</f>
        <v>N/A</v>
      </c>
      <c r="D20" s="76" t="str">
        <f>IF(D19="&lt;16%","LC16 Dose",IF(D19="&gt;16%&lt;30%","LC30 Dose",IF(D19="&gt;30%&lt;40%","LC40 Dose",IF(D19="&gt;40%&lt;50%","LC50 Dose",IF(D19="&gt;50%&lt;60%","LC60 Dose",IF(D19="&gt;60%&lt;70%","LC70 Dose",IF(OR(D19="&gt;70%&lt;84%",D19="&gt;84%"),"LC84 Dose","N/A")))))))</f>
        <v>N/A</v>
      </c>
      <c r="E20" s="139"/>
      <c r="F20" s="76" t="str">
        <f>IF(F19="&lt;16%","TH16 Dose",IF(F19="&gt;16%&lt;30%","TH30 Dose",IF(F19="&gt;30%&lt;40%","TH40 Dose",IF(F19="&gt;40%&lt;50%","TH50 Dose",IF(F19="&gt;50%&lt;60%","TH60 Dose",IF(F19="&gt;60%&lt;70%","TH70 Dose",IF(OR(F19="&gt;70%&lt;84%",F19="&gt;84%"),"TH84 Dose","N/A")))))))</f>
        <v>N/A</v>
      </c>
      <c r="G20" s="76" t="str">
        <f>IF(G19="&lt;16%","EC16 Dose",IF(G19="&gt;16%&lt;30%","EC30 Dose",IF(G19="&gt;30%&lt;40%","EC40 Dose",IF(G19="&gt;40%&lt;50%","EC50 Dose",IF(G19="&gt;50%&lt;60%","EC60 Dose",IF(G19="&gt;60%&lt;70%","EC70 Dose",IF(OR(G19="&gt;70%&lt;84%",G19="&gt;84%"),"EC84 Dose","N/A")))))))</f>
        <v>N/A</v>
      </c>
      <c r="H20" s="76" t="str">
        <f>IF(H19="&lt;16%","LC16 Dose",IF(H19="&gt;16%&lt;30%","LC30 Dose",IF(H19="&gt;30%&lt;40%","LC40 Dose",IF(H19="&gt;40%&lt;50%","LC50 Dose",IF(H19="&gt;50%&lt;60%","LC60 Dose",IF(H19="&gt;60%&lt;70%","LC70 Dose",IF(OR(H19="&gt;70%&lt;84%",H19="&gt;84%"),"LC84 Dose","N/A")))))))</f>
        <v>N/A</v>
      </c>
      <c r="I20" s="72"/>
      <c r="J20" s="70"/>
      <c r="K20" s="259"/>
      <c r="L20" s="259"/>
      <c r="M20" s="259"/>
      <c r="N20" s="259"/>
      <c r="O20" s="259"/>
      <c r="P20" s="259"/>
    </row>
    <row r="21" spans="1:16" ht="15" customHeight="1" thickBot="1" x14ac:dyDescent="0.25">
      <c r="A21" s="349"/>
      <c r="B21" s="78" t="str">
        <f>IF('CWA Entry'!A7=6,'Calculations (Toxic Load)'!Q32,"N/A")</f>
        <v>N/A</v>
      </c>
      <c r="C21" s="78" t="str">
        <f>IF('CWA Entry'!A7=6,'Calculations (Toxic Load)'!P32,"N/A")</f>
        <v>N/A</v>
      </c>
      <c r="D21" s="78" t="str">
        <f>IF('CWA Entry'!A7=6,'Calculations (Toxic Load)'!O75,"N/A")</f>
        <v>N/A</v>
      </c>
      <c r="E21" s="140"/>
      <c r="F21" s="78" t="str">
        <f>IF('CWA Entry'!B4&lt;=29.4444,"N/A",IF('CWA Entry'!A7=6,'Calculations (Toxic Load)'!Q36,"N/A"))</f>
        <v>N/A</v>
      </c>
      <c r="G21" s="78" t="str">
        <f>IF('CWA Entry'!B4&lt;=29.4444,"N/A",IF('CWA Entry'!A7=6,'Calculations (Toxic Load)'!P36,"N/A"))</f>
        <v>N/A</v>
      </c>
      <c r="H21" s="78" t="str">
        <f>IF('CWA Entry'!B4&lt;=29.4444,"N/A",IF('CWA Entry'!A7=6,'Calculations (Toxic Load)'!O36,"N/A"))</f>
        <v>N/A</v>
      </c>
      <c r="I21" s="72"/>
      <c r="J21" s="70"/>
      <c r="K21" s="257"/>
      <c r="L21" s="257"/>
      <c r="M21" s="257"/>
      <c r="N21" s="257"/>
      <c r="O21" s="257"/>
      <c r="P21" s="257"/>
    </row>
    <row r="22" spans="1:16" ht="15" customHeight="1" x14ac:dyDescent="0.2">
      <c r="A22" s="350" t="s">
        <v>487</v>
      </c>
      <c r="B22" s="358" t="str">
        <f>IF('CWA Entry'!A7=6,'Calculations (Toxic Load)'!K32,"N/A")</f>
        <v>N/A</v>
      </c>
      <c r="C22" s="358" t="str">
        <f>IF('CWA Entry'!A7=6,'Calculations (Toxic Load)'!K32,"N/A")</f>
        <v>N/A</v>
      </c>
      <c r="D22" s="358" t="str">
        <f>IF('CWA Entry'!A7=6,'Calculations (Toxic Load)'!K75,"N/A")</f>
        <v>N/A</v>
      </c>
      <c r="E22" s="141"/>
      <c r="F22" s="360" t="str">
        <f>IF('CWA Entry'!B4&lt;=29.4444,"N/A",IF('CWA Entry'!A7=6,'Calculations (Toxic Load)'!K36,"N/A"))</f>
        <v>N/A</v>
      </c>
      <c r="G22" s="360" t="str">
        <f>IF('CWA Entry'!B4&lt;=29.4444,"N/A",IF('CWA Entry'!A7=6,'Calculations (Toxic Load)'!K36,"N/A"))</f>
        <v>N/A</v>
      </c>
      <c r="H22" s="362" t="str">
        <f>IF('CWA Entry'!B4&lt;=29.4444,"N/A",IF('CWA Entry'!A7=6,'Calculations (Toxic Load)'!K36,"N/A"))</f>
        <v>N/A</v>
      </c>
      <c r="I22" s="72"/>
      <c r="J22" s="70"/>
      <c r="K22" s="257"/>
      <c r="L22" s="257"/>
      <c r="M22" s="257"/>
      <c r="N22" s="257"/>
      <c r="O22" s="257"/>
      <c r="P22" s="257"/>
    </row>
    <row r="23" spans="1:16" ht="15" customHeight="1" thickBot="1" x14ac:dyDescent="0.25">
      <c r="A23" s="350"/>
      <c r="B23" s="359"/>
      <c r="C23" s="359"/>
      <c r="D23" s="359"/>
      <c r="E23" s="141"/>
      <c r="F23" s="361"/>
      <c r="G23" s="361"/>
      <c r="H23" s="361"/>
      <c r="I23" s="72"/>
      <c r="J23" s="70"/>
      <c r="K23" s="257"/>
      <c r="L23" s="257"/>
      <c r="M23" s="257"/>
      <c r="N23" s="257"/>
      <c r="O23" s="257"/>
      <c r="P23" s="257"/>
    </row>
    <row r="24" spans="1:16" ht="13.5" thickBot="1" x14ac:dyDescent="0.25">
      <c r="A24" s="80"/>
      <c r="B24" s="74"/>
      <c r="C24" s="74"/>
      <c r="D24" s="74"/>
      <c r="E24" s="74"/>
      <c r="F24" s="74"/>
      <c r="G24" s="74"/>
      <c r="H24" s="74"/>
      <c r="I24" s="74"/>
      <c r="J24" s="151"/>
      <c r="K24" s="257"/>
      <c r="L24" s="257"/>
      <c r="M24" s="257"/>
      <c r="N24" s="257"/>
      <c r="O24" s="257"/>
      <c r="P24" s="257"/>
    </row>
    <row r="25" spans="1:16" x14ac:dyDescent="0.2">
      <c r="A25" s="257"/>
      <c r="B25" s="257"/>
      <c r="C25" s="257"/>
      <c r="D25" s="257"/>
      <c r="E25" s="257"/>
      <c r="F25" s="257"/>
      <c r="G25" s="257"/>
      <c r="H25" s="257"/>
      <c r="I25" s="258"/>
      <c r="J25" s="258"/>
      <c r="K25" s="257"/>
      <c r="L25" s="257"/>
      <c r="M25" s="257"/>
      <c r="N25" s="257"/>
      <c r="O25" s="257"/>
      <c r="P25" s="257"/>
    </row>
    <row r="26" spans="1:16" x14ac:dyDescent="0.2">
      <c r="A26" s="257"/>
      <c r="B26" s="257"/>
      <c r="C26" s="257"/>
      <c r="D26" s="257"/>
      <c r="E26" s="257"/>
      <c r="F26" s="257"/>
      <c r="G26" s="257"/>
      <c r="H26" s="257"/>
      <c r="I26" s="258"/>
      <c r="J26" s="258"/>
      <c r="K26" s="257"/>
      <c r="L26" s="257"/>
      <c r="M26" s="257"/>
      <c r="N26" s="257"/>
      <c r="O26" s="257"/>
      <c r="P26" s="257"/>
    </row>
    <row r="27" spans="1:16" x14ac:dyDescent="0.2">
      <c r="A27" s="257"/>
      <c r="B27" s="257"/>
      <c r="C27" s="257"/>
      <c r="D27" s="257"/>
      <c r="E27" s="257"/>
      <c r="F27" s="257"/>
      <c r="G27" s="257"/>
      <c r="H27" s="257"/>
      <c r="I27" s="258"/>
      <c r="J27" s="258"/>
      <c r="K27" s="257"/>
      <c r="L27" s="257"/>
      <c r="M27" s="257"/>
      <c r="N27" s="257"/>
      <c r="O27" s="257"/>
      <c r="P27" s="257"/>
    </row>
    <row r="28" spans="1:16" x14ac:dyDescent="0.2">
      <c r="A28" s="257"/>
      <c r="B28" s="257"/>
      <c r="C28" s="257"/>
      <c r="D28" s="257"/>
      <c r="E28" s="257"/>
      <c r="F28" s="257"/>
      <c r="G28" s="257"/>
      <c r="H28" s="257"/>
      <c r="I28" s="258"/>
      <c r="J28" s="258"/>
      <c r="K28" s="257"/>
      <c r="L28" s="257"/>
      <c r="M28" s="257"/>
      <c r="N28" s="257"/>
      <c r="O28" s="257"/>
      <c r="P28" s="257"/>
    </row>
    <row r="29" spans="1:16" x14ac:dyDescent="0.2">
      <c r="A29" s="257"/>
      <c r="B29" s="257"/>
      <c r="C29" s="257"/>
      <c r="D29" s="257"/>
      <c r="E29" s="257"/>
      <c r="F29" s="257"/>
      <c r="G29" s="257"/>
      <c r="H29" s="257"/>
      <c r="I29" s="258"/>
      <c r="J29" s="258"/>
      <c r="K29" s="257"/>
      <c r="L29" s="257"/>
      <c r="M29" s="257"/>
      <c r="N29" s="257"/>
      <c r="O29" s="257"/>
      <c r="P29" s="257"/>
    </row>
    <row r="30" spans="1:16" x14ac:dyDescent="0.2">
      <c r="A30" s="257"/>
      <c r="B30" s="257"/>
      <c r="C30" s="257"/>
      <c r="D30" s="257"/>
      <c r="E30" s="257"/>
      <c r="F30" s="257"/>
      <c r="G30" s="257"/>
      <c r="H30" s="257"/>
      <c r="I30" s="258"/>
      <c r="J30" s="258"/>
      <c r="K30" s="257"/>
      <c r="L30" s="257"/>
      <c r="M30" s="257"/>
      <c r="N30" s="257"/>
      <c r="O30" s="257"/>
      <c r="P30" s="257"/>
    </row>
    <row r="31" spans="1:16" x14ac:dyDescent="0.2">
      <c r="A31" s="257"/>
      <c r="B31" s="257"/>
      <c r="C31" s="257"/>
      <c r="D31" s="257"/>
      <c r="E31" s="257"/>
      <c r="F31" s="257"/>
      <c r="G31" s="257"/>
      <c r="H31" s="257"/>
      <c r="I31" s="258"/>
      <c r="J31" s="258"/>
      <c r="K31" s="257"/>
      <c r="L31" s="257"/>
      <c r="M31" s="257"/>
      <c r="N31" s="257"/>
      <c r="O31" s="257"/>
      <c r="P31" s="257"/>
    </row>
    <row r="32" spans="1:16" x14ac:dyDescent="0.2">
      <c r="A32" s="257"/>
      <c r="B32" s="257"/>
      <c r="C32" s="257"/>
      <c r="D32" s="257"/>
      <c r="E32" s="257"/>
      <c r="F32" s="257"/>
      <c r="G32" s="257"/>
      <c r="H32" s="257"/>
      <c r="I32" s="258"/>
      <c r="J32" s="258"/>
      <c r="K32" s="257"/>
      <c r="L32" s="257"/>
      <c r="M32" s="257"/>
      <c r="N32" s="257"/>
      <c r="O32" s="257"/>
      <c r="P32" s="257"/>
    </row>
    <row r="33" spans="1:16" x14ac:dyDescent="0.2">
      <c r="A33" s="257"/>
      <c r="B33" s="257"/>
      <c r="C33" s="257"/>
      <c r="D33" s="257"/>
      <c r="E33" s="257"/>
      <c r="F33" s="257"/>
      <c r="G33" s="257"/>
      <c r="H33" s="257"/>
      <c r="I33" s="258"/>
      <c r="J33" s="258"/>
      <c r="K33" s="257"/>
      <c r="L33" s="257"/>
      <c r="M33" s="257"/>
      <c r="N33" s="257"/>
      <c r="O33" s="257"/>
      <c r="P33" s="257"/>
    </row>
    <row r="34" spans="1:16" x14ac:dyDescent="0.2">
      <c r="A34" s="257"/>
      <c r="B34" s="257"/>
      <c r="C34" s="257"/>
      <c r="D34" s="257"/>
      <c r="E34" s="257"/>
      <c r="F34" s="257"/>
      <c r="G34" s="257"/>
      <c r="H34" s="257"/>
      <c r="I34" s="258"/>
      <c r="J34" s="258"/>
      <c r="K34" s="257"/>
      <c r="L34" s="257"/>
      <c r="M34" s="257"/>
      <c r="N34" s="257"/>
      <c r="O34" s="257"/>
      <c r="P34" s="257"/>
    </row>
    <row r="35" spans="1:16" x14ac:dyDescent="0.2">
      <c r="A35" s="257"/>
      <c r="B35" s="257"/>
      <c r="C35" s="257"/>
      <c r="D35" s="257"/>
      <c r="E35" s="257"/>
      <c r="F35" s="257"/>
      <c r="G35" s="257"/>
      <c r="H35" s="257"/>
      <c r="I35" s="258"/>
      <c r="J35" s="258"/>
      <c r="K35" s="257"/>
      <c r="L35" s="257"/>
      <c r="M35" s="257"/>
      <c r="N35" s="257"/>
      <c r="O35" s="257"/>
      <c r="P35" s="257"/>
    </row>
    <row r="36" spans="1:16" x14ac:dyDescent="0.2">
      <c r="A36" s="257"/>
      <c r="B36" s="257"/>
      <c r="C36" s="257"/>
      <c r="D36" s="257"/>
      <c r="E36" s="257"/>
      <c r="F36" s="257"/>
      <c r="G36" s="257"/>
      <c r="H36" s="257"/>
      <c r="I36" s="258"/>
      <c r="J36" s="258"/>
      <c r="K36" s="257"/>
      <c r="L36" s="257"/>
      <c r="M36" s="257"/>
      <c r="N36" s="257"/>
      <c r="O36" s="257"/>
      <c r="P36" s="257"/>
    </row>
    <row r="37" spans="1:16" x14ac:dyDescent="0.2">
      <c r="A37" s="257"/>
      <c r="B37" s="257"/>
      <c r="C37" s="257"/>
      <c r="D37" s="257"/>
      <c r="E37" s="257"/>
      <c r="F37" s="257"/>
      <c r="G37" s="257"/>
      <c r="H37" s="257"/>
      <c r="I37" s="258"/>
      <c r="J37" s="258"/>
      <c r="K37" s="257"/>
      <c r="L37" s="257"/>
      <c r="M37" s="257"/>
      <c r="N37" s="257"/>
      <c r="O37" s="257"/>
      <c r="P37" s="257"/>
    </row>
    <row r="38" spans="1:16" x14ac:dyDescent="0.2">
      <c r="A38" s="257"/>
      <c r="B38" s="257"/>
      <c r="C38" s="257"/>
      <c r="D38" s="257"/>
      <c r="E38" s="257"/>
      <c r="F38" s="257"/>
      <c r="G38" s="257"/>
      <c r="H38" s="257"/>
      <c r="I38" s="258"/>
      <c r="J38" s="258"/>
      <c r="K38" s="257"/>
      <c r="L38" s="257"/>
      <c r="M38" s="257"/>
      <c r="N38" s="257"/>
      <c r="O38" s="257"/>
      <c r="P38" s="257"/>
    </row>
    <row r="39" spans="1:16" x14ac:dyDescent="0.2">
      <c r="A39" s="257"/>
      <c r="B39" s="257"/>
      <c r="C39" s="257"/>
      <c r="D39" s="257"/>
      <c r="E39" s="257"/>
      <c r="F39" s="257"/>
      <c r="G39" s="257"/>
      <c r="H39" s="257"/>
      <c r="I39" s="258"/>
      <c r="J39" s="258"/>
      <c r="K39" s="257"/>
      <c r="L39" s="257"/>
      <c r="M39" s="257"/>
      <c r="N39" s="257"/>
      <c r="O39" s="257"/>
      <c r="P39" s="257"/>
    </row>
    <row r="40" spans="1:16" x14ac:dyDescent="0.2">
      <c r="A40" s="257"/>
      <c r="B40" s="257"/>
      <c r="C40" s="257"/>
      <c r="D40" s="257"/>
      <c r="E40" s="257"/>
      <c r="F40" s="257"/>
      <c r="G40" s="257"/>
      <c r="H40" s="257"/>
      <c r="I40" s="258"/>
      <c r="J40" s="258"/>
      <c r="K40" s="257"/>
      <c r="L40" s="257"/>
      <c r="M40" s="257"/>
      <c r="N40" s="257"/>
      <c r="O40" s="257"/>
      <c r="P40" s="257"/>
    </row>
    <row r="41" spans="1:16" x14ac:dyDescent="0.2">
      <c r="A41" s="257"/>
      <c r="B41" s="257"/>
      <c r="C41" s="257"/>
      <c r="D41" s="257"/>
      <c r="E41" s="257"/>
      <c r="F41" s="257"/>
      <c r="G41" s="257"/>
      <c r="H41" s="257"/>
      <c r="I41" s="258"/>
      <c r="J41" s="258"/>
      <c r="K41" s="257"/>
      <c r="L41" s="257"/>
      <c r="M41" s="257"/>
      <c r="N41" s="257"/>
      <c r="O41" s="257"/>
      <c r="P41" s="257"/>
    </row>
    <row r="42" spans="1:16" x14ac:dyDescent="0.2">
      <c r="A42" s="257"/>
      <c r="B42" s="257"/>
      <c r="C42" s="257"/>
      <c r="D42" s="257"/>
      <c r="E42" s="257"/>
      <c r="F42" s="257"/>
      <c r="G42" s="257"/>
      <c r="H42" s="257"/>
      <c r="I42" s="258"/>
      <c r="J42" s="258"/>
      <c r="K42" s="257"/>
      <c r="L42" s="257"/>
      <c r="M42" s="257"/>
      <c r="N42" s="257"/>
      <c r="O42" s="257"/>
      <c r="P42" s="257"/>
    </row>
  </sheetData>
  <sheetProtection sheet="1" objects="1" scenarios="1" selectLockedCells="1" selectUnlockedCells="1"/>
  <mergeCells count="25">
    <mergeCell ref="A6:A7"/>
    <mergeCell ref="A8:A9"/>
    <mergeCell ref="C8:C9"/>
    <mergeCell ref="D8:D9"/>
    <mergeCell ref="A15:A16"/>
    <mergeCell ref="B15:B16"/>
    <mergeCell ref="D15:D16"/>
    <mergeCell ref="C15:C16"/>
    <mergeCell ref="F16:H17"/>
    <mergeCell ref="H22:H23"/>
    <mergeCell ref="G8:G9"/>
    <mergeCell ref="F8:F9"/>
    <mergeCell ref="B8:B9"/>
    <mergeCell ref="F22:F23"/>
    <mergeCell ref="G22:G23"/>
    <mergeCell ref="A1:J1"/>
    <mergeCell ref="A3:D3"/>
    <mergeCell ref="A20:A21"/>
    <mergeCell ref="A22:A23"/>
    <mergeCell ref="B22:B23"/>
    <mergeCell ref="C22:C23"/>
    <mergeCell ref="D22:D23"/>
    <mergeCell ref="H8:H9"/>
    <mergeCell ref="A13:A14"/>
    <mergeCell ref="F3:H3"/>
  </mergeCells>
  <phoneticPr fontId="18" type="noConversion"/>
  <conditionalFormatting sqref="D22 D15">
    <cfRule type="cellIs" dxfId="58" priority="1" stopIfTrue="1" operator="lessThanOrEqual">
      <formula>#REF!*0.75</formula>
    </cfRule>
    <cfRule type="cellIs" dxfId="57" priority="2" stopIfTrue="1" operator="between">
      <formula>#REF!*0.8</formula>
      <formula>#REF!*0.99</formula>
    </cfRule>
    <cfRule type="cellIs" dxfId="56" priority="3" stopIfTrue="1" operator="greaterThan">
      <formula>#REF!*0.99</formula>
    </cfRule>
  </conditionalFormatting>
  <conditionalFormatting sqref="D8">
    <cfRule type="cellIs" dxfId="55" priority="4" stopIfTrue="1" operator="lessThanOrEqual">
      <formula>$D$11*0.75</formula>
    </cfRule>
    <cfRule type="cellIs" dxfId="54" priority="5" stopIfTrue="1" operator="between">
      <formula>$D$11*0.8</formula>
      <formula>$D$11*0.99</formula>
    </cfRule>
    <cfRule type="cellIs" dxfId="53" priority="6" stopIfTrue="1" operator="greaterThan">
      <formula>$D$11*0.99</formula>
    </cfRule>
  </conditionalFormatting>
  <conditionalFormatting sqref="F22:H22">
    <cfRule type="cellIs" dxfId="52" priority="7" stopIfTrue="1" operator="lessThanOrEqual">
      <formula>#REF!*0.75</formula>
    </cfRule>
    <cfRule type="cellIs" dxfId="51" priority="8" stopIfTrue="1" operator="between">
      <formula>#REF!*0.8</formula>
      <formula>#REF!*0.99</formula>
    </cfRule>
    <cfRule type="cellIs" dxfId="50" priority="9" stopIfTrue="1" operator="greaterThan">
      <formula>#REF!*0.99</formula>
    </cfRule>
  </conditionalFormatting>
  <conditionalFormatting sqref="F8:H8">
    <cfRule type="cellIs" dxfId="49" priority="10" stopIfTrue="1" operator="lessThanOrEqual">
      <formula>#REF!*0.75</formula>
    </cfRule>
    <cfRule type="cellIs" dxfId="48" priority="11" stopIfTrue="1" operator="between">
      <formula>#REF!*0.8</formula>
      <formula>#REF!*0.99</formula>
    </cfRule>
    <cfRule type="cellIs" dxfId="47" priority="12" stopIfTrue="1" operator="greaterThan">
      <formula>#REF!*0.99</formula>
    </cfRule>
  </conditionalFormatting>
  <conditionalFormatting sqref="E12 E5 E19">
    <cfRule type="cellIs" dxfId="46" priority="13" stopIfTrue="1" operator="between">
      <formula>"&gt;60%&lt;70%"</formula>
      <formula>"&gt;84%"</formula>
    </cfRule>
    <cfRule type="cellIs" dxfId="45" priority="14" stopIfTrue="1" operator="between">
      <formula>"&gt;16%&lt;30%"</formula>
      <formula>"&gt;50%&lt;60%"</formula>
    </cfRule>
    <cfRule type="cellIs" dxfId="44" priority="15" stopIfTrue="1" operator="equal">
      <formula>"&lt;16%"</formula>
    </cfRule>
  </conditionalFormatting>
  <conditionalFormatting sqref="E15 B15:C15 B22:C22 E22">
    <cfRule type="cellIs" dxfId="43" priority="16" stopIfTrue="1" operator="lessThanOrEqual">
      <formula>#REF!*0.75</formula>
    </cfRule>
    <cfRule type="cellIs" dxfId="42" priority="17" stopIfTrue="1" operator="between">
      <formula>#REF!*0.8</formula>
      <formula>#REF!*0.99</formula>
    </cfRule>
    <cfRule type="cellIs" dxfId="41" priority="18" stopIfTrue="1" operator="greaterThan">
      <formula>#REF!*0.99</formula>
    </cfRule>
  </conditionalFormatting>
  <conditionalFormatting sqref="B8:C8 E8">
    <cfRule type="cellIs" dxfId="40" priority="19" stopIfTrue="1" operator="lessThanOrEqual">
      <formula>$C$11*0.75</formula>
    </cfRule>
    <cfRule type="cellIs" dxfId="39" priority="20" stopIfTrue="1" operator="between">
      <formula>$C$11*0.8</formula>
      <formula>$C$11*0.99</formula>
    </cfRule>
    <cfRule type="cellIs" dxfId="38" priority="21" stopIfTrue="1" operator="greaterThan">
      <formula>$C$11*0.99</formula>
    </cfRule>
  </conditionalFormatting>
  <conditionalFormatting sqref="A5:A9 A13:A16 A20:A23">
    <cfRule type="cellIs" priority="22" stopIfTrue="1" operator="greaterThanOrEqual">
      <formula>6</formula>
    </cfRule>
  </conditionalFormatting>
  <conditionalFormatting sqref="B5:D5 B12:D12 B19:D19 F5:H5 F19:H19">
    <cfRule type="cellIs" dxfId="37" priority="23" stopIfTrue="1" operator="equal">
      <formula>"&gt;84%"</formula>
    </cfRule>
  </conditionalFormatting>
  <pageMargins left="0.75" right="0.75" top="1" bottom="1" header="0.5" footer="0.5"/>
  <headerFooter alignWithMargins="0"/>
  <drawing r:id="rId1"/>
  <legacyDrawing r:id="rId2"/>
  <controls>
    <mc:AlternateContent xmlns:mc="http://schemas.openxmlformats.org/markup-compatibility/2006">
      <mc:Choice Requires="x14">
        <control shapeId="10267" r:id="rId3" name="CommandButton1">
          <controlPr autoLine="0" r:id="rId4">
            <anchor moveWithCells="1">
              <from>
                <xdr:col>4</xdr:col>
                <xdr:colOff>571500</xdr:colOff>
                <xdr:row>10</xdr:row>
                <xdr:rowOff>390525</xdr:rowOff>
              </from>
              <to>
                <xdr:col>6</xdr:col>
                <xdr:colOff>466725</xdr:colOff>
                <xdr:row>13</xdr:row>
                <xdr:rowOff>57150</xdr:rowOff>
              </to>
            </anchor>
          </controlPr>
        </control>
      </mc:Choice>
      <mc:Fallback>
        <control shapeId="10267" r:id="rId3" name="CommandButton1"/>
      </mc:Fallback>
    </mc:AlternateContent>
    <mc:AlternateContent xmlns:mc="http://schemas.openxmlformats.org/markup-compatibility/2006">
      <mc:Choice Requires="x14">
        <control shapeId="10241" r:id="rId5" name="ReturnCWAEntry">
          <controlPr autoLine="0" autoPict="0" r:id="rId6">
            <anchor moveWithCells="1">
              <from>
                <xdr:col>6</xdr:col>
                <xdr:colOff>762000</xdr:colOff>
                <xdr:row>10</xdr:row>
                <xdr:rowOff>390525</xdr:rowOff>
              </from>
              <to>
                <xdr:col>7</xdr:col>
                <xdr:colOff>914400</xdr:colOff>
                <xdr:row>13</xdr:row>
                <xdr:rowOff>38100</xdr:rowOff>
              </to>
            </anchor>
          </controlPr>
        </control>
      </mc:Choice>
      <mc:Fallback>
        <control shapeId="10241" r:id="rId5" name="ReturnCWAEntry"/>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T56"/>
  <sheetViews>
    <sheetView showGridLines="0" showRowColHeaders="0" workbookViewId="0">
      <selection activeCell="C6" sqref="C6"/>
    </sheetView>
  </sheetViews>
  <sheetFormatPr defaultRowHeight="12.75" x14ac:dyDescent="0.2"/>
  <cols>
    <col min="1" max="1" width="42.140625" customWidth="1"/>
    <col min="2" max="2" width="19.5703125" customWidth="1"/>
    <col min="3" max="3" width="54.5703125" customWidth="1"/>
  </cols>
  <sheetData>
    <row r="1" spans="1:20" x14ac:dyDescent="0.2">
      <c r="A1" s="353" t="s">
        <v>259</v>
      </c>
      <c r="B1" s="354"/>
      <c r="C1" s="354"/>
      <c r="D1" s="356"/>
      <c r="E1" s="257"/>
      <c r="F1" s="257"/>
      <c r="G1" s="257"/>
      <c r="H1" s="257"/>
      <c r="I1" s="257"/>
      <c r="J1" s="257"/>
      <c r="K1" s="257"/>
      <c r="L1" s="257"/>
      <c r="M1" s="257"/>
      <c r="N1" s="257"/>
      <c r="O1" s="257"/>
      <c r="P1" s="257"/>
      <c r="Q1" s="257"/>
      <c r="R1" s="257"/>
      <c r="S1" s="257"/>
      <c r="T1" s="257"/>
    </row>
    <row r="2" spans="1:20" x14ac:dyDescent="0.2">
      <c r="A2" s="363"/>
      <c r="B2" s="364"/>
      <c r="C2" s="364"/>
      <c r="D2" s="365"/>
      <c r="E2" s="257"/>
      <c r="F2" s="257"/>
      <c r="G2" s="257"/>
      <c r="H2" s="257"/>
      <c r="I2" s="257"/>
      <c r="J2" s="257"/>
      <c r="K2" s="257"/>
      <c r="L2" s="257"/>
      <c r="M2" s="257"/>
      <c r="N2" s="257"/>
      <c r="O2" s="257"/>
      <c r="P2" s="257"/>
      <c r="Q2" s="257"/>
      <c r="R2" s="257"/>
      <c r="S2" s="257"/>
      <c r="T2" s="257"/>
    </row>
    <row r="3" spans="1:20" ht="13.5" thickBot="1" x14ac:dyDescent="0.25">
      <c r="A3" s="85"/>
      <c r="B3" s="81"/>
      <c r="C3" s="81"/>
      <c r="D3" s="79"/>
      <c r="E3" s="257"/>
      <c r="F3" s="257"/>
      <c r="G3" s="257"/>
      <c r="H3" s="257"/>
      <c r="I3" s="257"/>
      <c r="J3" s="257"/>
      <c r="K3" s="257"/>
      <c r="L3" s="257"/>
      <c r="M3" s="257"/>
      <c r="N3" s="257"/>
      <c r="O3" s="257"/>
      <c r="P3" s="257"/>
      <c r="Q3" s="257"/>
      <c r="R3" s="257"/>
      <c r="S3" s="257"/>
      <c r="T3" s="257"/>
    </row>
    <row r="4" spans="1:20" ht="27.75" thickBot="1" x14ac:dyDescent="0.25">
      <c r="A4" s="171" t="s">
        <v>489</v>
      </c>
      <c r="B4" s="171" t="s">
        <v>251</v>
      </c>
      <c r="C4" s="170" t="s">
        <v>56</v>
      </c>
      <c r="D4" s="70"/>
      <c r="E4" s="257"/>
      <c r="F4" s="257"/>
      <c r="G4" s="257"/>
      <c r="H4" s="257"/>
      <c r="I4" s="257"/>
      <c r="J4" s="257"/>
      <c r="K4" s="257"/>
      <c r="L4" s="257"/>
      <c r="M4" s="257"/>
      <c r="N4" s="257"/>
      <c r="O4" s="257"/>
      <c r="P4" s="257"/>
      <c r="Q4" s="257"/>
      <c r="R4" s="257"/>
      <c r="S4" s="257"/>
      <c r="T4" s="257"/>
    </row>
    <row r="5" spans="1:20" ht="13.5" thickBot="1" x14ac:dyDescent="0.25">
      <c r="A5" s="334" t="str">
        <f>IF('CWA Entry'!A7=11,"Lewisite",IF('CWA Entry'!A7&gt;=7,"HN-1, HN-2, HN-3, or HT","N/A"))</f>
        <v>N/A</v>
      </c>
      <c r="B5" s="157" t="str">
        <f>IF('CWA Entry'!A7=11,'Calculations (Toxic Load)'!K147,IF('CWA Entry'!A7&gt;=7,'Calculations (Toxic Load)'!K138,"N/A"))</f>
        <v>N/A</v>
      </c>
      <c r="C5" s="158" t="str">
        <f>IF('CWA Entry'!A7=11,'Calculations (Toxic Load)'!M147,IF('CWA Entry'!A7&gt;=7,'Calculations (Toxic Load)'!M138,"N/A"))</f>
        <v>N/A</v>
      </c>
      <c r="D5" s="79"/>
      <c r="E5" s="264"/>
      <c r="F5" s="264"/>
      <c r="G5" s="258"/>
      <c r="H5" s="257"/>
      <c r="I5" s="257"/>
      <c r="J5" s="257"/>
      <c r="K5" s="257"/>
      <c r="L5" s="257"/>
      <c r="M5" s="257"/>
      <c r="N5" s="257"/>
      <c r="O5" s="257"/>
      <c r="P5" s="257"/>
      <c r="Q5" s="257"/>
      <c r="R5" s="257"/>
      <c r="S5" s="257"/>
      <c r="T5" s="257"/>
    </row>
    <row r="6" spans="1:20" ht="13.5" thickBot="1" x14ac:dyDescent="0.25">
      <c r="A6" s="369"/>
      <c r="B6" s="157" t="str">
        <f xml:space="preserve"> IF(AND('CWA Entry'!B4&lt;=29.4444,'CWA Entry'!A7=11),'Calculations (Toxic Load)'!K148,IF(AND('CWA Entry'!B4&lt;=29.4444,'CWA Entry'!A7&gt;=7),'Calculations (Toxic Load)'!K139,IF(AND('CWA Entry'!B4&gt;29.4444,'CWA Entry'!A7=11),'Calculations (Toxic Load)'!K149,IF(AND('CWA Entry'!B4&gt;29.4444,'CWA Entry'!A7&gt;=7),'Calculations (Toxic Load)'!K140,"N/A"))))</f>
        <v>N/A</v>
      </c>
      <c r="C6" s="172" t="str">
        <f>IF(AND('CWA Entry'!B4&lt;=29.4444,'CWA Entry'!A7=11),'Calculations (Toxic Load)'!M148,IF(AND('CWA Entry'!B4&lt;=29.4444,'CWA Entry'!A7&gt;=7),'Calculations (Toxic Load)'!M139,IF(AND('CWA Entry'!B4&gt;29.4444,'CWA Entry'!A7=11),'Calculations (Toxic Load)'!M149,IF(AND('CWA Entry'!B4&gt;29.4444,'CWA Entry'!A7&gt;=7),'Calculations (Toxic Load)'!M140,"N/A"))))</f>
        <v>N/A</v>
      </c>
      <c r="D6" s="79"/>
      <c r="E6" s="264"/>
      <c r="F6" s="264"/>
      <c r="G6" s="258"/>
      <c r="H6" s="257"/>
      <c r="I6" s="257"/>
      <c r="J6" s="257"/>
      <c r="K6" s="257"/>
      <c r="L6" s="257"/>
      <c r="M6" s="257"/>
      <c r="N6" s="257"/>
      <c r="O6" s="257"/>
      <c r="P6" s="257"/>
      <c r="Q6" s="257"/>
      <c r="R6" s="257"/>
      <c r="S6" s="257"/>
      <c r="T6" s="257"/>
    </row>
    <row r="7" spans="1:20" ht="13.5" thickBot="1" x14ac:dyDescent="0.25">
      <c r="A7" s="370"/>
      <c r="B7" s="157" t="str">
        <f>IF(AND('CWA Entry'!B4&lt;=29.4444,'CWA Entry'!A7=11),'Calculations (Toxic Load)'!K150,IF(AND('CWA Entry'!B4&lt;=29.4444,'CWA Entry'!A7&gt;=7),'Calculations (Toxic Load)'!K141,IF(AND('CWA Entry'!B4&gt;29.4444,'CWA Entry'!A7=11),'Calculations (Toxic Load)'!K151,IF(AND('CWA Entry'!B4&gt;29.4444,'CWA Entry'!A7&gt;=7),'Calculations (Toxic Load)'!K142,"N/A"))))</f>
        <v>N/A</v>
      </c>
      <c r="C7" s="172" t="str">
        <f>IF(AND('CWA Entry'!B4&lt;=29.4444,'CWA Entry'!A7=11),'Calculations (Toxic Load)'!M150,IF(AND('CWA Entry'!B4&lt;=29.4444,'CWA Entry'!A7&gt;=7),'Calculations (Toxic Load)'!M141,IF(AND('CWA Entry'!B4&gt;29.4444,'CWA Entry'!A7=11),'Calculations (Toxic Load)'!M151,IF(AND('CWA Entry'!B4&gt;29.4444,'CWA Entry'!A7&gt;=7),'Calculations (Toxic Load)'!M142,"N/A"))))</f>
        <v>N/A</v>
      </c>
      <c r="D7" s="79"/>
      <c r="E7" s="264"/>
      <c r="F7" s="264"/>
      <c r="G7" s="258"/>
      <c r="H7" s="257"/>
      <c r="I7" s="257"/>
      <c r="J7" s="257"/>
      <c r="K7" s="257"/>
      <c r="L7" s="257"/>
      <c r="M7" s="257"/>
      <c r="N7" s="257"/>
      <c r="O7" s="257"/>
      <c r="P7" s="257"/>
      <c r="Q7" s="257"/>
      <c r="R7" s="257"/>
      <c r="S7" s="257"/>
      <c r="T7" s="257"/>
    </row>
    <row r="8" spans="1:20" ht="13.5" thickBot="1" x14ac:dyDescent="0.25">
      <c r="A8" s="366" t="str">
        <f>IF('CWA Entry'!A7=11,'Calculations (Toxic Load)'!J147,IF('CWA Entry'!A7&gt;=7,'Calculations (Toxic Load)'!J138,"N/A"))</f>
        <v>N/A</v>
      </c>
      <c r="B8" s="157" t="str">
        <f xml:space="preserve"> IF(AND('CWA Entry'!B4&lt;=29.4444,'CWA Entry'!A7=11),'Calculations (Toxic Load)'!K152,IF(AND('CWA Entry'!B4&lt;=29.4444,'CWA Entry'!A7&gt;=7),'Calculations (Toxic Load)'!K143,IF(AND('CWA Entry'!B4&gt;29.4444,'CWA Entry'!A7=11),'Calculations (Toxic Load)'!K153,IF(AND('CWA Entry'!B4&gt;29.4444,'CWA Entry'!A7&gt;=7),'Calculations (Toxic Load)'!K144,"N/A"))))</f>
        <v>N/A</v>
      </c>
      <c r="C8" s="172" t="str">
        <f>IF(AND('CWA Entry'!B4&lt;=29.4444,'CWA Entry'!A7=11),'Calculations (Toxic Load)'!M152,IF(AND('CWA Entry'!B4&lt;=29.4444,'CWA Entry'!A7&gt;=7),'Calculations (Toxic Load)'!M143,IF(AND('CWA Entry'!B4&gt;29.4444,'CWA Entry'!A7=11),'Calculations (Toxic Load)'!M153,IF(AND('CWA Entry'!B4&gt;29.4444,'CWA Entry'!A7&gt;=7),'Calculations (Toxic Load)'!M144,"N/A"))))</f>
        <v>N/A</v>
      </c>
      <c r="D8" s="79"/>
      <c r="E8" s="264"/>
      <c r="F8" s="264"/>
      <c r="G8" s="258"/>
      <c r="H8" s="257"/>
      <c r="I8" s="257"/>
      <c r="J8" s="257"/>
      <c r="K8" s="257"/>
      <c r="L8" s="257"/>
      <c r="M8" s="257"/>
      <c r="N8" s="257"/>
      <c r="O8" s="257"/>
      <c r="P8" s="257"/>
      <c r="Q8" s="257"/>
      <c r="R8" s="257"/>
      <c r="S8" s="257"/>
      <c r="T8" s="257"/>
    </row>
    <row r="9" spans="1:20" ht="13.5" thickBot="1" x14ac:dyDescent="0.25">
      <c r="A9" s="367"/>
      <c r="B9" s="157" t="str">
        <f>IF('CWA Entry'!A7=11,'Calculations (Toxic Load)'!K154,IF('CWA Entry'!A7&gt;=7,'Calculations (Toxic Load)'!K145,"N/A"))</f>
        <v>N/A</v>
      </c>
      <c r="C9" s="158" t="str">
        <f>IF('CWA Entry'!A7=11,'Calculations (Toxic Load)'!M154,IF('CWA Entry'!A7&gt;=7,'Calculations (Toxic Load)'!M145,"N/A"))</f>
        <v>N/A</v>
      </c>
      <c r="D9" s="79"/>
      <c r="E9" s="264"/>
      <c r="F9" s="264"/>
      <c r="G9" s="258"/>
      <c r="H9" s="257"/>
      <c r="I9" s="257"/>
      <c r="J9" s="257"/>
      <c r="K9" s="257"/>
      <c r="L9" s="257"/>
      <c r="M9" s="257"/>
      <c r="N9" s="257"/>
      <c r="O9" s="257"/>
      <c r="P9" s="257"/>
      <c r="Q9" s="257"/>
      <c r="R9" s="257"/>
      <c r="S9" s="257"/>
      <c r="T9" s="257"/>
    </row>
    <row r="10" spans="1:20" ht="13.5" thickBot="1" x14ac:dyDescent="0.25">
      <c r="A10" s="368"/>
      <c r="B10" s="157" t="str">
        <f>IF('CWA Entry'!A7=11,'Calculations (Toxic Load)'!K155,IF('CWA Entry'!A7&gt;=7,'Calculations (Toxic Load)'!K146,"N/A"))</f>
        <v>N/A</v>
      </c>
      <c r="C10" s="169" t="str">
        <f>IF('CWA Entry'!A7=11,'Calculations (Toxic Load)'!M155,IF('CWA Entry'!A7&gt;=7,'Calculations (Toxic Load)'!M146,"N/A"))</f>
        <v>N/A</v>
      </c>
      <c r="D10" s="79"/>
      <c r="E10" s="264"/>
      <c r="F10" s="264"/>
      <c r="G10" s="258"/>
      <c r="H10" s="257"/>
      <c r="I10" s="257"/>
      <c r="J10" s="257"/>
      <c r="K10" s="257"/>
      <c r="L10" s="257"/>
      <c r="M10" s="257"/>
      <c r="N10" s="257"/>
      <c r="O10" s="257"/>
      <c r="P10" s="257"/>
      <c r="Q10" s="257"/>
      <c r="R10" s="257"/>
      <c r="S10" s="257"/>
      <c r="T10" s="257"/>
    </row>
    <row r="11" spans="1:20" x14ac:dyDescent="0.2">
      <c r="A11" s="377"/>
      <c r="B11" s="371" t="s">
        <v>258</v>
      </c>
      <c r="C11" s="372"/>
      <c r="D11" s="365"/>
      <c r="E11" s="264"/>
      <c r="F11" s="264"/>
      <c r="G11" s="258"/>
      <c r="H11" s="257"/>
      <c r="I11" s="257"/>
      <c r="J11" s="257"/>
      <c r="K11" s="257"/>
      <c r="L11" s="257"/>
      <c r="M11" s="257"/>
      <c r="N11" s="257"/>
      <c r="O11" s="257"/>
      <c r="P11" s="257"/>
      <c r="Q11" s="257"/>
      <c r="R11" s="257"/>
      <c r="S11" s="257"/>
      <c r="T11" s="257"/>
    </row>
    <row r="12" spans="1:20" s="125" customFormat="1" x14ac:dyDescent="0.2">
      <c r="A12" s="378"/>
      <c r="B12" s="373"/>
      <c r="C12" s="374"/>
      <c r="D12" s="379"/>
      <c r="E12" s="264"/>
      <c r="F12" s="264"/>
      <c r="G12" s="258"/>
      <c r="H12" s="258"/>
      <c r="I12" s="258"/>
      <c r="J12" s="258"/>
      <c r="K12" s="258"/>
      <c r="L12" s="258"/>
      <c r="M12" s="258"/>
      <c r="N12" s="258"/>
      <c r="O12" s="258"/>
      <c r="P12" s="258"/>
      <c r="Q12" s="258"/>
      <c r="R12" s="258"/>
      <c r="S12" s="258"/>
      <c r="T12" s="258"/>
    </row>
    <row r="13" spans="1:20" s="125" customFormat="1" x14ac:dyDescent="0.2">
      <c r="A13" s="378"/>
      <c r="B13" s="373"/>
      <c r="C13" s="374"/>
      <c r="D13" s="379"/>
      <c r="E13" s="258"/>
      <c r="F13" s="258"/>
      <c r="G13" s="258"/>
      <c r="H13" s="258"/>
      <c r="I13" s="258"/>
      <c r="J13" s="258"/>
      <c r="K13" s="258"/>
      <c r="L13" s="258"/>
      <c r="M13" s="258"/>
      <c r="N13" s="258"/>
      <c r="O13" s="258"/>
      <c r="P13" s="258"/>
      <c r="Q13" s="258"/>
      <c r="R13" s="258"/>
      <c r="S13" s="258"/>
      <c r="T13" s="258"/>
    </row>
    <row r="14" spans="1:20" s="125" customFormat="1" x14ac:dyDescent="0.2">
      <c r="A14" s="378"/>
      <c r="B14" s="373"/>
      <c r="C14" s="374"/>
      <c r="D14" s="379"/>
      <c r="E14" s="258"/>
      <c r="F14" s="258"/>
      <c r="G14" s="258"/>
      <c r="H14" s="258"/>
      <c r="I14" s="258"/>
      <c r="J14" s="258"/>
      <c r="K14" s="258"/>
      <c r="L14" s="258"/>
      <c r="M14" s="258"/>
      <c r="N14" s="258"/>
      <c r="O14" s="258"/>
      <c r="P14" s="258"/>
      <c r="Q14" s="258"/>
      <c r="R14" s="258"/>
      <c r="S14" s="258"/>
      <c r="T14" s="258"/>
    </row>
    <row r="15" spans="1:20" s="125" customFormat="1" x14ac:dyDescent="0.2">
      <c r="A15" s="378"/>
      <c r="B15" s="373"/>
      <c r="C15" s="374"/>
      <c r="D15" s="379"/>
      <c r="E15" s="258"/>
      <c r="F15" s="258"/>
      <c r="G15" s="258"/>
      <c r="H15" s="258"/>
      <c r="I15" s="258"/>
      <c r="J15" s="258"/>
      <c r="K15" s="258"/>
      <c r="L15" s="258"/>
      <c r="M15" s="258"/>
      <c r="N15" s="258"/>
      <c r="O15" s="258"/>
      <c r="P15" s="258"/>
      <c r="Q15" s="258"/>
      <c r="R15" s="258"/>
      <c r="S15" s="258"/>
      <c r="T15" s="258"/>
    </row>
    <row r="16" spans="1:20" ht="13.5" thickBot="1" x14ac:dyDescent="0.25">
      <c r="A16" s="375"/>
      <c r="B16" s="375"/>
      <c r="C16" s="376"/>
      <c r="D16" s="376"/>
      <c r="E16" s="257"/>
      <c r="F16" s="257"/>
      <c r="G16" s="257"/>
      <c r="H16" s="257"/>
      <c r="I16" s="257"/>
      <c r="J16" s="257"/>
      <c r="K16" s="257"/>
      <c r="L16" s="257"/>
      <c r="M16" s="257"/>
      <c r="N16" s="257"/>
      <c r="O16" s="257"/>
      <c r="P16" s="257"/>
      <c r="Q16" s="257"/>
      <c r="R16" s="257"/>
      <c r="S16" s="257"/>
      <c r="T16" s="257"/>
    </row>
    <row r="17" spans="1:20" x14ac:dyDescent="0.2">
      <c r="A17" s="257"/>
      <c r="B17" s="257"/>
      <c r="C17" s="257"/>
      <c r="D17" s="257"/>
      <c r="E17" s="257"/>
      <c r="F17" s="257"/>
      <c r="G17" s="257"/>
      <c r="H17" s="257"/>
      <c r="I17" s="257"/>
      <c r="J17" s="257"/>
      <c r="K17" s="257"/>
      <c r="L17" s="257"/>
      <c r="M17" s="257"/>
      <c r="N17" s="257"/>
      <c r="O17" s="257"/>
      <c r="P17" s="257"/>
      <c r="Q17" s="257"/>
      <c r="R17" s="257"/>
      <c r="S17" s="257"/>
      <c r="T17" s="257"/>
    </row>
    <row r="18" spans="1:20" x14ac:dyDescent="0.2">
      <c r="A18" s="257"/>
      <c r="B18" s="257"/>
      <c r="C18" s="257"/>
      <c r="D18" s="257"/>
      <c r="E18" s="257"/>
      <c r="F18" s="257"/>
      <c r="G18" s="257"/>
      <c r="H18" s="257"/>
      <c r="I18" s="257"/>
      <c r="J18" s="257"/>
      <c r="K18" s="257"/>
      <c r="L18" s="257"/>
      <c r="M18" s="257"/>
      <c r="N18" s="257"/>
      <c r="O18" s="257"/>
      <c r="P18" s="257"/>
      <c r="Q18" s="257"/>
      <c r="R18" s="257"/>
      <c r="S18" s="257"/>
      <c r="T18" s="257"/>
    </row>
    <row r="19" spans="1:20" x14ac:dyDescent="0.2">
      <c r="A19" s="257"/>
      <c r="B19" s="257"/>
      <c r="C19" s="257"/>
      <c r="D19" s="257"/>
      <c r="E19" s="257"/>
      <c r="F19" s="257"/>
      <c r="G19" s="257"/>
      <c r="H19" s="257"/>
      <c r="I19" s="257"/>
      <c r="J19" s="257"/>
      <c r="K19" s="257"/>
      <c r="L19" s="257"/>
      <c r="M19" s="257"/>
      <c r="N19" s="257"/>
      <c r="O19" s="257"/>
      <c r="P19" s="257"/>
      <c r="Q19" s="257"/>
      <c r="R19" s="257"/>
      <c r="S19" s="257"/>
      <c r="T19" s="257"/>
    </row>
    <row r="20" spans="1:20" x14ac:dyDescent="0.2">
      <c r="A20" s="257"/>
      <c r="B20" s="257"/>
      <c r="C20" s="257"/>
      <c r="D20" s="257"/>
      <c r="E20" s="257"/>
      <c r="F20" s="257"/>
      <c r="G20" s="257"/>
      <c r="H20" s="257"/>
      <c r="I20" s="257"/>
      <c r="J20" s="257"/>
      <c r="K20" s="257"/>
      <c r="L20" s="257"/>
      <c r="M20" s="257"/>
      <c r="N20" s="257"/>
      <c r="O20" s="257"/>
      <c r="P20" s="257"/>
      <c r="Q20" s="257"/>
      <c r="R20" s="257"/>
      <c r="S20" s="257"/>
      <c r="T20" s="257"/>
    </row>
    <row r="21" spans="1:20" x14ac:dyDescent="0.2">
      <c r="A21" s="257"/>
      <c r="B21" s="257"/>
      <c r="C21" s="257"/>
      <c r="D21" s="257"/>
      <c r="E21" s="257"/>
      <c r="F21" s="257"/>
      <c r="G21" s="257"/>
      <c r="H21" s="257"/>
      <c r="I21" s="257"/>
      <c r="J21" s="257"/>
      <c r="K21" s="257"/>
      <c r="L21" s="257"/>
      <c r="M21" s="257"/>
      <c r="N21" s="257"/>
      <c r="O21" s="257"/>
      <c r="P21" s="257"/>
      <c r="Q21" s="257"/>
      <c r="R21" s="257"/>
      <c r="S21" s="257"/>
      <c r="T21" s="257"/>
    </row>
    <row r="22" spans="1:20" x14ac:dyDescent="0.2">
      <c r="A22" s="257"/>
      <c r="B22" s="257"/>
      <c r="C22" s="257"/>
      <c r="D22" s="257"/>
      <c r="E22" s="257"/>
      <c r="F22" s="257"/>
      <c r="G22" s="257"/>
      <c r="H22" s="257"/>
      <c r="I22" s="257"/>
      <c r="J22" s="257"/>
      <c r="K22" s="257"/>
      <c r="L22" s="257"/>
      <c r="M22" s="257"/>
      <c r="N22" s="257"/>
      <c r="O22" s="257"/>
      <c r="P22" s="257"/>
      <c r="Q22" s="257"/>
      <c r="R22" s="257"/>
      <c r="S22" s="257"/>
      <c r="T22" s="257"/>
    </row>
    <row r="23" spans="1:20" x14ac:dyDescent="0.2">
      <c r="A23" s="257"/>
      <c r="B23" s="257"/>
      <c r="C23" s="257"/>
      <c r="D23" s="257"/>
      <c r="E23" s="257"/>
      <c r="F23" s="257"/>
      <c r="G23" s="257"/>
      <c r="H23" s="257"/>
      <c r="I23" s="257"/>
      <c r="J23" s="257"/>
      <c r="K23" s="257"/>
      <c r="L23" s="257"/>
      <c r="M23" s="257"/>
      <c r="N23" s="257"/>
      <c r="O23" s="257"/>
      <c r="P23" s="257"/>
      <c r="Q23" s="257"/>
      <c r="R23" s="257"/>
      <c r="S23" s="257"/>
      <c r="T23" s="257"/>
    </row>
    <row r="24" spans="1:20" x14ac:dyDescent="0.2">
      <c r="A24" s="257"/>
      <c r="B24" s="257"/>
      <c r="C24" s="257"/>
      <c r="D24" s="257"/>
      <c r="E24" s="257"/>
      <c r="F24" s="257"/>
      <c r="G24" s="257"/>
      <c r="H24" s="257"/>
      <c r="I24" s="257"/>
      <c r="J24" s="257"/>
      <c r="K24" s="257"/>
      <c r="L24" s="257"/>
      <c r="M24" s="257"/>
      <c r="N24" s="257"/>
      <c r="O24" s="257"/>
      <c r="P24" s="257"/>
      <c r="Q24" s="257"/>
      <c r="R24" s="257"/>
      <c r="S24" s="257"/>
      <c r="T24" s="257"/>
    </row>
    <row r="25" spans="1:20" x14ac:dyDescent="0.2">
      <c r="A25" s="257"/>
      <c r="B25" s="257"/>
      <c r="C25" s="257"/>
      <c r="D25" s="257"/>
      <c r="E25" s="257"/>
      <c r="F25" s="257"/>
      <c r="G25" s="257"/>
      <c r="H25" s="257"/>
      <c r="I25" s="257"/>
      <c r="J25" s="257"/>
      <c r="K25" s="257"/>
      <c r="L25" s="257"/>
      <c r="M25" s="257"/>
      <c r="N25" s="257"/>
      <c r="O25" s="257"/>
      <c r="P25" s="257"/>
      <c r="Q25" s="257"/>
      <c r="R25" s="257"/>
      <c r="S25" s="257"/>
      <c r="T25" s="257"/>
    </row>
    <row r="26" spans="1:20" x14ac:dyDescent="0.2">
      <c r="A26" s="257"/>
      <c r="B26" s="257"/>
      <c r="C26" s="257"/>
      <c r="D26" s="257"/>
      <c r="E26" s="257"/>
      <c r="F26" s="257"/>
      <c r="G26" s="257"/>
      <c r="H26" s="257"/>
      <c r="I26" s="257"/>
      <c r="J26" s="257"/>
      <c r="K26" s="257"/>
      <c r="L26" s="257"/>
      <c r="M26" s="257"/>
      <c r="N26" s="257"/>
      <c r="O26" s="257"/>
      <c r="P26" s="257"/>
      <c r="Q26" s="257"/>
      <c r="R26" s="257"/>
      <c r="S26" s="257"/>
      <c r="T26" s="257"/>
    </row>
    <row r="27" spans="1:20" x14ac:dyDescent="0.2">
      <c r="A27" s="257"/>
      <c r="B27" s="257"/>
      <c r="C27" s="257"/>
      <c r="D27" s="257"/>
      <c r="E27" s="257"/>
      <c r="F27" s="257"/>
      <c r="G27" s="257"/>
      <c r="H27" s="257"/>
      <c r="I27" s="257"/>
      <c r="J27" s="257"/>
      <c r="K27" s="257"/>
      <c r="L27" s="257"/>
      <c r="M27" s="257"/>
      <c r="N27" s="257"/>
      <c r="O27" s="257"/>
      <c r="P27" s="257"/>
      <c r="Q27" s="257"/>
      <c r="R27" s="257"/>
      <c r="S27" s="257"/>
      <c r="T27" s="257"/>
    </row>
    <row r="28" spans="1:20" x14ac:dyDescent="0.2">
      <c r="A28" s="257"/>
      <c r="B28" s="257"/>
      <c r="C28" s="257"/>
      <c r="D28" s="257"/>
      <c r="E28" s="257"/>
      <c r="F28" s="257"/>
      <c r="G28" s="257"/>
      <c r="H28" s="257"/>
      <c r="I28" s="257"/>
      <c r="J28" s="257"/>
      <c r="K28" s="257"/>
      <c r="L28" s="257"/>
      <c r="M28" s="257"/>
      <c r="N28" s="257"/>
      <c r="O28" s="257"/>
      <c r="P28" s="257"/>
      <c r="Q28" s="257"/>
      <c r="R28" s="257"/>
      <c r="S28" s="257"/>
      <c r="T28" s="257"/>
    </row>
    <row r="29" spans="1:20" x14ac:dyDescent="0.2">
      <c r="A29" s="257"/>
      <c r="B29" s="257"/>
      <c r="C29" s="257"/>
      <c r="D29" s="257"/>
      <c r="E29" s="257"/>
      <c r="F29" s="257"/>
      <c r="G29" s="257"/>
      <c r="H29" s="257"/>
      <c r="I29" s="257"/>
      <c r="J29" s="257"/>
      <c r="K29" s="257"/>
      <c r="L29" s="257"/>
      <c r="M29" s="257"/>
      <c r="N29" s="257"/>
      <c r="O29" s="257"/>
      <c r="P29" s="257"/>
      <c r="Q29" s="257"/>
      <c r="R29" s="257"/>
      <c r="S29" s="257"/>
      <c r="T29" s="257"/>
    </row>
    <row r="30" spans="1:20" x14ac:dyDescent="0.2">
      <c r="A30" s="257"/>
      <c r="B30" s="257"/>
      <c r="C30" s="257"/>
      <c r="D30" s="257"/>
      <c r="E30" s="257"/>
      <c r="F30" s="257"/>
      <c r="G30" s="257"/>
      <c r="H30" s="257"/>
      <c r="I30" s="257"/>
      <c r="J30" s="257"/>
      <c r="K30" s="257"/>
      <c r="L30" s="257"/>
      <c r="M30" s="257"/>
      <c r="N30" s="257"/>
      <c r="O30" s="257"/>
      <c r="P30" s="257"/>
      <c r="Q30" s="257"/>
      <c r="R30" s="257"/>
      <c r="S30" s="257"/>
      <c r="T30" s="257"/>
    </row>
    <row r="31" spans="1:20" x14ac:dyDescent="0.2">
      <c r="A31" s="257"/>
      <c r="B31" s="257"/>
      <c r="C31" s="257"/>
      <c r="D31" s="257"/>
      <c r="E31" s="257"/>
      <c r="F31" s="257"/>
      <c r="G31" s="257"/>
      <c r="H31" s="257"/>
      <c r="I31" s="257"/>
      <c r="J31" s="257"/>
      <c r="K31" s="257"/>
      <c r="L31" s="257"/>
      <c r="M31" s="257"/>
      <c r="N31" s="257"/>
      <c r="O31" s="257"/>
      <c r="P31" s="257"/>
      <c r="Q31" s="257"/>
      <c r="R31" s="257"/>
      <c r="S31" s="257"/>
      <c r="T31" s="257"/>
    </row>
    <row r="32" spans="1:20" x14ac:dyDescent="0.2">
      <c r="A32" s="257"/>
      <c r="B32" s="257"/>
      <c r="C32" s="257"/>
      <c r="D32" s="257"/>
      <c r="E32" s="257"/>
      <c r="F32" s="257"/>
      <c r="G32" s="257"/>
      <c r="H32" s="257"/>
      <c r="I32" s="257"/>
      <c r="J32" s="257"/>
      <c r="K32" s="257"/>
      <c r="L32" s="257"/>
      <c r="M32" s="257"/>
      <c r="N32" s="257"/>
      <c r="O32" s="257"/>
      <c r="P32" s="257"/>
      <c r="Q32" s="257"/>
      <c r="R32" s="257"/>
      <c r="S32" s="257"/>
      <c r="T32" s="257"/>
    </row>
    <row r="33" spans="1:20" x14ac:dyDescent="0.2">
      <c r="A33" s="257"/>
      <c r="B33" s="257"/>
      <c r="C33" s="257"/>
      <c r="D33" s="257"/>
      <c r="E33" s="257"/>
      <c r="F33" s="257"/>
      <c r="G33" s="257"/>
      <c r="H33" s="257"/>
      <c r="I33" s="257"/>
      <c r="J33" s="257"/>
      <c r="K33" s="257"/>
      <c r="L33" s="257"/>
      <c r="M33" s="257"/>
      <c r="N33" s="257"/>
      <c r="O33" s="257"/>
      <c r="P33" s="257"/>
      <c r="Q33" s="257"/>
      <c r="R33" s="257"/>
      <c r="S33" s="257"/>
      <c r="T33" s="257"/>
    </row>
    <row r="34" spans="1:20" x14ac:dyDescent="0.2">
      <c r="A34" s="257"/>
      <c r="B34" s="257"/>
      <c r="C34" s="257"/>
      <c r="D34" s="257"/>
      <c r="E34" s="257"/>
      <c r="F34" s="257"/>
      <c r="G34" s="257"/>
      <c r="H34" s="257"/>
      <c r="I34" s="257"/>
      <c r="J34" s="257"/>
      <c r="K34" s="257"/>
      <c r="L34" s="257"/>
      <c r="M34" s="257"/>
      <c r="N34" s="257"/>
      <c r="O34" s="257"/>
      <c r="P34" s="257"/>
      <c r="Q34" s="257"/>
      <c r="R34" s="257"/>
      <c r="S34" s="257"/>
      <c r="T34" s="257"/>
    </row>
    <row r="35" spans="1:20" x14ac:dyDescent="0.2">
      <c r="A35" s="257"/>
      <c r="B35" s="257"/>
      <c r="C35" s="257"/>
      <c r="D35" s="257"/>
      <c r="E35" s="257"/>
      <c r="F35" s="257"/>
      <c r="G35" s="257"/>
      <c r="H35" s="257"/>
      <c r="I35" s="257"/>
      <c r="J35" s="257"/>
      <c r="K35" s="257"/>
      <c r="L35" s="257"/>
      <c r="M35" s="257"/>
      <c r="N35" s="257"/>
      <c r="O35" s="257"/>
      <c r="P35" s="257"/>
      <c r="Q35" s="257"/>
      <c r="R35" s="257"/>
      <c r="S35" s="257"/>
      <c r="T35" s="257"/>
    </row>
    <row r="36" spans="1:20" x14ac:dyDescent="0.2">
      <c r="A36" s="257"/>
      <c r="B36" s="257"/>
      <c r="C36" s="257"/>
      <c r="D36" s="257"/>
      <c r="E36" s="257"/>
      <c r="F36" s="257"/>
      <c r="G36" s="257"/>
      <c r="H36" s="257"/>
      <c r="I36" s="257"/>
      <c r="J36" s="257"/>
      <c r="K36" s="257"/>
      <c r="L36" s="257"/>
      <c r="M36" s="257"/>
      <c r="N36" s="257"/>
      <c r="O36" s="257"/>
      <c r="P36" s="257"/>
      <c r="Q36" s="257"/>
      <c r="R36" s="257"/>
      <c r="S36" s="257"/>
      <c r="T36" s="257"/>
    </row>
    <row r="37" spans="1:20" x14ac:dyDescent="0.2">
      <c r="A37" s="257"/>
      <c r="B37" s="257"/>
      <c r="C37" s="257"/>
      <c r="D37" s="257"/>
      <c r="E37" s="257"/>
      <c r="F37" s="257"/>
      <c r="G37" s="257"/>
      <c r="H37" s="257"/>
      <c r="I37" s="257"/>
      <c r="J37" s="257"/>
      <c r="K37" s="257"/>
      <c r="L37" s="257"/>
      <c r="M37" s="257"/>
      <c r="N37" s="257"/>
      <c r="O37" s="257"/>
      <c r="P37" s="257"/>
      <c r="Q37" s="257"/>
      <c r="R37" s="257"/>
      <c r="S37" s="257"/>
      <c r="T37" s="257"/>
    </row>
    <row r="38" spans="1:20" x14ac:dyDescent="0.2">
      <c r="A38" s="257"/>
      <c r="B38" s="257"/>
      <c r="C38" s="257"/>
      <c r="D38" s="257"/>
      <c r="E38" s="257"/>
      <c r="F38" s="257"/>
      <c r="G38" s="257"/>
      <c r="H38" s="257"/>
      <c r="I38" s="257"/>
      <c r="J38" s="257"/>
      <c r="K38" s="257"/>
      <c r="L38" s="257"/>
      <c r="M38" s="257"/>
      <c r="N38" s="257"/>
      <c r="O38" s="257"/>
      <c r="P38" s="257"/>
      <c r="Q38" s="257"/>
      <c r="R38" s="257"/>
      <c r="S38" s="257"/>
      <c r="T38" s="257"/>
    </row>
    <row r="39" spans="1:20" x14ac:dyDescent="0.2">
      <c r="A39" s="257"/>
      <c r="B39" s="257"/>
      <c r="C39" s="257"/>
      <c r="D39" s="257"/>
      <c r="E39" s="257"/>
      <c r="F39" s="257"/>
      <c r="G39" s="257"/>
      <c r="H39" s="257"/>
      <c r="I39" s="257"/>
      <c r="J39" s="257"/>
      <c r="K39" s="257"/>
      <c r="L39" s="257"/>
      <c r="M39" s="257"/>
      <c r="N39" s="257"/>
      <c r="O39" s="257"/>
      <c r="P39" s="257"/>
      <c r="Q39" s="257"/>
      <c r="R39" s="257"/>
      <c r="S39" s="257"/>
      <c r="T39" s="257"/>
    </row>
    <row r="40" spans="1:20" x14ac:dyDescent="0.2">
      <c r="A40" s="257"/>
      <c r="B40" s="257"/>
      <c r="C40" s="257"/>
      <c r="D40" s="257"/>
      <c r="E40" s="257"/>
      <c r="F40" s="257"/>
      <c r="G40" s="257"/>
      <c r="H40" s="257"/>
      <c r="I40" s="257"/>
      <c r="J40" s="257"/>
      <c r="K40" s="257"/>
      <c r="L40" s="257"/>
      <c r="M40" s="257"/>
      <c r="N40" s="257"/>
      <c r="O40" s="257"/>
      <c r="P40" s="257"/>
      <c r="Q40" s="257"/>
      <c r="R40" s="257"/>
      <c r="S40" s="257"/>
      <c r="T40" s="257"/>
    </row>
    <row r="41" spans="1:20" x14ac:dyDescent="0.2">
      <c r="A41" s="257"/>
      <c r="B41" s="257"/>
      <c r="C41" s="257"/>
      <c r="D41" s="257"/>
      <c r="E41" s="257"/>
      <c r="F41" s="257"/>
      <c r="G41" s="257"/>
      <c r="H41" s="257"/>
      <c r="I41" s="257"/>
      <c r="J41" s="257"/>
      <c r="K41" s="257"/>
      <c r="L41" s="257"/>
      <c r="M41" s="257"/>
      <c r="N41" s="257"/>
      <c r="O41" s="257"/>
      <c r="P41" s="257"/>
      <c r="Q41" s="257"/>
      <c r="R41" s="257"/>
      <c r="S41" s="257"/>
      <c r="T41" s="257"/>
    </row>
    <row r="42" spans="1:20" x14ac:dyDescent="0.2">
      <c r="A42" s="257"/>
      <c r="B42" s="257"/>
      <c r="C42" s="257"/>
      <c r="D42" s="257"/>
      <c r="E42" s="257"/>
      <c r="F42" s="257"/>
      <c r="G42" s="257"/>
      <c r="H42" s="257"/>
      <c r="I42" s="257"/>
      <c r="J42" s="257"/>
      <c r="K42" s="257"/>
      <c r="L42" s="257"/>
      <c r="M42" s="257"/>
      <c r="N42" s="257"/>
      <c r="O42" s="257"/>
      <c r="P42" s="257"/>
      <c r="Q42" s="257"/>
      <c r="R42" s="257"/>
      <c r="S42" s="257"/>
      <c r="T42" s="257"/>
    </row>
    <row r="43" spans="1:20" x14ac:dyDescent="0.2">
      <c r="A43" s="257"/>
      <c r="B43" s="257"/>
      <c r="C43" s="257"/>
      <c r="D43" s="257"/>
      <c r="E43" s="257"/>
      <c r="F43" s="257"/>
      <c r="G43" s="257"/>
      <c r="H43" s="257"/>
      <c r="I43" s="257"/>
      <c r="J43" s="257"/>
      <c r="K43" s="257"/>
      <c r="L43" s="257"/>
      <c r="M43" s="257"/>
      <c r="N43" s="257"/>
      <c r="O43" s="257"/>
      <c r="P43" s="257"/>
      <c r="Q43" s="257"/>
      <c r="R43" s="257"/>
      <c r="S43" s="257"/>
      <c r="T43" s="257"/>
    </row>
    <row r="44" spans="1:20" x14ac:dyDescent="0.2">
      <c r="A44" s="257"/>
      <c r="B44" s="257"/>
      <c r="C44" s="257"/>
      <c r="D44" s="257"/>
      <c r="E44" s="257"/>
      <c r="F44" s="257"/>
      <c r="G44" s="257"/>
      <c r="H44" s="257"/>
      <c r="I44" s="257"/>
      <c r="J44" s="257"/>
      <c r="K44" s="257"/>
      <c r="L44" s="257"/>
      <c r="M44" s="257"/>
      <c r="N44" s="257"/>
      <c r="O44" s="257"/>
      <c r="P44" s="257"/>
      <c r="Q44" s="257"/>
      <c r="R44" s="257"/>
      <c r="S44" s="257"/>
      <c r="T44" s="257"/>
    </row>
    <row r="45" spans="1:20" x14ac:dyDescent="0.2">
      <c r="A45" s="257"/>
      <c r="B45" s="257"/>
      <c r="C45" s="257"/>
      <c r="D45" s="257"/>
      <c r="E45" s="257"/>
      <c r="F45" s="257"/>
      <c r="G45" s="257"/>
      <c r="H45" s="257"/>
      <c r="I45" s="257"/>
      <c r="J45" s="257"/>
      <c r="K45" s="257"/>
      <c r="L45" s="257"/>
      <c r="M45" s="257"/>
      <c r="N45" s="257"/>
      <c r="O45" s="257"/>
      <c r="P45" s="257"/>
      <c r="Q45" s="257"/>
      <c r="R45" s="257"/>
      <c r="S45" s="257"/>
      <c r="T45" s="257"/>
    </row>
    <row r="46" spans="1:20" x14ac:dyDescent="0.2">
      <c r="A46" s="257"/>
      <c r="B46" s="257"/>
      <c r="C46" s="257"/>
      <c r="D46" s="257"/>
      <c r="E46" s="257"/>
      <c r="F46" s="257"/>
      <c r="G46" s="257"/>
      <c r="H46" s="257"/>
      <c r="I46" s="257"/>
      <c r="J46" s="257"/>
      <c r="K46" s="257"/>
      <c r="L46" s="257"/>
      <c r="M46" s="257"/>
      <c r="N46" s="257"/>
      <c r="O46" s="257"/>
      <c r="P46" s="257"/>
      <c r="Q46" s="257"/>
      <c r="R46" s="257"/>
      <c r="S46" s="257"/>
      <c r="T46" s="257"/>
    </row>
    <row r="47" spans="1:20" x14ac:dyDescent="0.2">
      <c r="A47" s="257"/>
      <c r="B47" s="257"/>
      <c r="C47" s="257"/>
      <c r="D47" s="257"/>
      <c r="E47" s="257"/>
      <c r="F47" s="257"/>
      <c r="G47" s="257"/>
      <c r="H47" s="257"/>
      <c r="I47" s="257"/>
      <c r="J47" s="257"/>
      <c r="K47" s="257"/>
      <c r="L47" s="257"/>
      <c r="M47" s="257"/>
      <c r="N47" s="257"/>
      <c r="O47" s="257"/>
      <c r="P47" s="257"/>
      <c r="Q47" s="257"/>
      <c r="R47" s="257"/>
      <c r="S47" s="257"/>
      <c r="T47" s="257"/>
    </row>
    <row r="48" spans="1:20" x14ac:dyDescent="0.2">
      <c r="A48" s="257"/>
      <c r="B48" s="257"/>
      <c r="C48" s="257"/>
      <c r="D48" s="257"/>
      <c r="E48" s="257"/>
      <c r="F48" s="257"/>
      <c r="G48" s="257"/>
      <c r="H48" s="257"/>
      <c r="I48" s="257"/>
      <c r="J48" s="257"/>
      <c r="K48" s="257"/>
      <c r="L48" s="257"/>
      <c r="M48" s="257"/>
      <c r="N48" s="257"/>
      <c r="O48" s="257"/>
      <c r="P48" s="257"/>
      <c r="Q48" s="257"/>
      <c r="R48" s="257"/>
      <c r="S48" s="257"/>
      <c r="T48" s="257"/>
    </row>
    <row r="49" spans="1:20" x14ac:dyDescent="0.2">
      <c r="A49" s="257"/>
      <c r="B49" s="257"/>
      <c r="C49" s="257"/>
      <c r="D49" s="257"/>
      <c r="E49" s="257"/>
      <c r="F49" s="257"/>
      <c r="G49" s="257"/>
      <c r="H49" s="257"/>
      <c r="I49" s="257"/>
      <c r="J49" s="257"/>
      <c r="K49" s="257"/>
      <c r="L49" s="257"/>
      <c r="M49" s="257"/>
      <c r="N49" s="257"/>
      <c r="O49" s="257"/>
      <c r="P49" s="257"/>
      <c r="Q49" s="257"/>
      <c r="R49" s="257"/>
      <c r="S49" s="257"/>
      <c r="T49" s="257"/>
    </row>
    <row r="50" spans="1:20" x14ac:dyDescent="0.2">
      <c r="A50" s="257"/>
      <c r="B50" s="257"/>
      <c r="C50" s="257"/>
      <c r="D50" s="257"/>
      <c r="E50" s="257"/>
      <c r="F50" s="257"/>
      <c r="G50" s="257"/>
      <c r="H50" s="257"/>
      <c r="I50" s="257"/>
      <c r="J50" s="257"/>
      <c r="K50" s="257"/>
      <c r="L50" s="257"/>
      <c r="M50" s="257"/>
      <c r="N50" s="257"/>
      <c r="O50" s="257"/>
      <c r="P50" s="257"/>
      <c r="Q50" s="257"/>
      <c r="R50" s="257"/>
      <c r="S50" s="257"/>
      <c r="T50" s="257"/>
    </row>
    <row r="51" spans="1:20" x14ac:dyDescent="0.2">
      <c r="A51" s="257"/>
      <c r="B51" s="257"/>
      <c r="C51" s="257"/>
      <c r="D51" s="257"/>
      <c r="E51" s="257"/>
      <c r="F51" s="257"/>
      <c r="G51" s="257"/>
      <c r="H51" s="257"/>
      <c r="I51" s="257"/>
      <c r="J51" s="257"/>
      <c r="K51" s="257"/>
      <c r="L51" s="257"/>
      <c r="M51" s="257"/>
      <c r="N51" s="257"/>
      <c r="O51" s="257"/>
      <c r="P51" s="257"/>
      <c r="Q51" s="257"/>
      <c r="R51" s="257"/>
      <c r="S51" s="257"/>
      <c r="T51" s="257"/>
    </row>
    <row r="52" spans="1:20" x14ac:dyDescent="0.2">
      <c r="A52" s="257"/>
      <c r="B52" s="257"/>
      <c r="C52" s="257"/>
      <c r="D52" s="257"/>
      <c r="E52" s="257"/>
      <c r="F52" s="257"/>
      <c r="G52" s="257"/>
      <c r="H52" s="257"/>
      <c r="I52" s="257"/>
      <c r="J52" s="257"/>
      <c r="K52" s="257"/>
      <c r="L52" s="257"/>
      <c r="M52" s="257"/>
      <c r="N52" s="257"/>
      <c r="O52" s="257"/>
      <c r="P52" s="257"/>
      <c r="Q52" s="257"/>
      <c r="R52" s="257"/>
      <c r="S52" s="257"/>
      <c r="T52" s="257"/>
    </row>
    <row r="53" spans="1:20" x14ac:dyDescent="0.2">
      <c r="A53" s="257"/>
      <c r="B53" s="257"/>
      <c r="C53" s="257"/>
      <c r="D53" s="257"/>
      <c r="E53" s="257"/>
      <c r="F53" s="257"/>
      <c r="G53" s="257"/>
      <c r="H53" s="257"/>
      <c r="I53" s="257"/>
      <c r="J53" s="257"/>
      <c r="K53" s="257"/>
      <c r="L53" s="257"/>
      <c r="M53" s="257"/>
      <c r="N53" s="257"/>
      <c r="O53" s="257"/>
      <c r="P53" s="257"/>
      <c r="Q53" s="257"/>
      <c r="R53" s="257"/>
      <c r="S53" s="257"/>
      <c r="T53" s="257"/>
    </row>
    <row r="54" spans="1:20" x14ac:dyDescent="0.2">
      <c r="A54" s="257"/>
      <c r="B54" s="257"/>
      <c r="C54" s="257"/>
      <c r="D54" s="257"/>
      <c r="E54" s="257"/>
      <c r="F54" s="257"/>
      <c r="G54" s="257"/>
      <c r="H54" s="257"/>
      <c r="I54" s="257"/>
      <c r="J54" s="257"/>
      <c r="K54" s="257"/>
      <c r="L54" s="257"/>
      <c r="M54" s="257"/>
      <c r="N54" s="257"/>
      <c r="O54" s="257"/>
      <c r="P54" s="257"/>
      <c r="Q54" s="257"/>
      <c r="R54" s="257"/>
      <c r="S54" s="257"/>
      <c r="T54" s="257"/>
    </row>
    <row r="55" spans="1:20" x14ac:dyDescent="0.2">
      <c r="A55" s="257"/>
      <c r="B55" s="257"/>
      <c r="C55" s="257"/>
      <c r="D55" s="257"/>
      <c r="E55" s="257"/>
      <c r="F55" s="257"/>
      <c r="G55" s="257"/>
      <c r="H55" s="257"/>
      <c r="I55" s="257"/>
      <c r="J55" s="257"/>
      <c r="K55" s="257"/>
      <c r="L55" s="257"/>
      <c r="M55" s="257"/>
      <c r="N55" s="257"/>
      <c r="O55" s="257"/>
      <c r="P55" s="257"/>
      <c r="Q55" s="257"/>
      <c r="R55" s="257"/>
      <c r="S55" s="257"/>
      <c r="T55" s="257"/>
    </row>
    <row r="56" spans="1:20" x14ac:dyDescent="0.2">
      <c r="A56" s="257"/>
      <c r="B56" s="257"/>
      <c r="C56" s="257"/>
      <c r="D56" s="257"/>
      <c r="E56" s="257"/>
      <c r="F56" s="257"/>
      <c r="G56" s="257"/>
      <c r="H56" s="257"/>
      <c r="I56" s="257"/>
      <c r="J56" s="257"/>
      <c r="K56" s="257"/>
      <c r="L56" s="257"/>
      <c r="M56" s="257"/>
      <c r="N56" s="257"/>
      <c r="O56" s="257"/>
      <c r="P56" s="257"/>
      <c r="Q56" s="257"/>
      <c r="R56" s="257"/>
      <c r="S56" s="257"/>
      <c r="T56" s="257"/>
    </row>
  </sheetData>
  <sheetProtection sheet="1" objects="1" scenarios="1" selectLockedCells="1" selectUnlockedCells="1"/>
  <mergeCells count="6">
    <mergeCell ref="A1:D2"/>
    <mergeCell ref="A8:A10"/>
    <mergeCell ref="A5:A7"/>
    <mergeCell ref="B11:C16"/>
    <mergeCell ref="A11:A16"/>
    <mergeCell ref="D11:D16"/>
  </mergeCells>
  <phoneticPr fontId="18" type="noConversion"/>
  <pageMargins left="0.75" right="0.75" top="1" bottom="1" header="0.5" footer="0.5"/>
  <headerFooter alignWithMargins="0"/>
  <drawing r:id="rId1"/>
  <legacyDrawing r:id="rId2"/>
  <controls>
    <mc:AlternateContent xmlns:mc="http://schemas.openxmlformats.org/markup-compatibility/2006">
      <mc:Choice Requires="x14">
        <control shapeId="13322" r:id="rId3" name="CWAEntry">
          <controlPr autoLine="0" autoPict="0" r:id="rId4">
            <anchor moveWithCells="1">
              <from>
                <xdr:col>0</xdr:col>
                <xdr:colOff>895350</xdr:colOff>
                <xdr:row>11</xdr:row>
                <xdr:rowOff>104775</xdr:rowOff>
              </from>
              <to>
                <xdr:col>0</xdr:col>
                <xdr:colOff>1952625</xdr:colOff>
                <xdr:row>13</xdr:row>
                <xdr:rowOff>85725</xdr:rowOff>
              </to>
            </anchor>
          </controlPr>
        </control>
      </mc:Choice>
      <mc:Fallback>
        <control shapeId="13322" r:id="rId3" name="CWAEntry"/>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N85"/>
  <sheetViews>
    <sheetView workbookViewId="0">
      <selection activeCell="H14" sqref="H14:H15"/>
    </sheetView>
  </sheetViews>
  <sheetFormatPr defaultRowHeight="12.75" x14ac:dyDescent="0.2"/>
  <cols>
    <col min="1" max="1" width="27" customWidth="1"/>
    <col min="2" max="2" width="19.28515625" customWidth="1"/>
    <col min="3" max="3" width="5.42578125" customWidth="1"/>
    <col min="4" max="4" width="27.140625" customWidth="1"/>
    <col min="5" max="5" width="18.5703125" customWidth="1"/>
    <col min="6" max="6" width="10.42578125" customWidth="1"/>
    <col min="7" max="8" width="11.42578125" customWidth="1"/>
    <col min="9" max="9" width="10.85546875" customWidth="1"/>
    <col min="10" max="10" width="10.7109375" customWidth="1"/>
    <col min="11" max="11" width="15.28515625" customWidth="1"/>
  </cols>
  <sheetData>
    <row r="1" spans="1:14" ht="28.5" customHeight="1" thickBot="1" x14ac:dyDescent="0.3">
      <c r="A1" s="380" t="s">
        <v>371</v>
      </c>
      <c r="B1" s="381"/>
      <c r="C1" s="381"/>
      <c r="D1" s="381"/>
      <c r="E1" s="382"/>
      <c r="F1" s="265"/>
      <c r="G1" s="257"/>
      <c r="H1" s="257"/>
      <c r="I1" s="257"/>
      <c r="J1" s="257"/>
      <c r="K1" s="257"/>
      <c r="L1" s="257"/>
      <c r="M1" s="257"/>
      <c r="N1" s="257"/>
    </row>
    <row r="2" spans="1:14" ht="6" customHeight="1" thickBot="1" x14ac:dyDescent="0.25">
      <c r="A2" s="258"/>
      <c r="B2" s="258"/>
      <c r="C2" s="258"/>
      <c r="D2" s="258"/>
      <c r="E2" s="258"/>
      <c r="F2" s="265"/>
      <c r="G2" s="257"/>
      <c r="H2" s="257"/>
      <c r="I2" s="257"/>
      <c r="J2" s="257"/>
      <c r="K2" s="257"/>
      <c r="L2" s="257"/>
      <c r="M2" s="257"/>
      <c r="N2" s="257"/>
    </row>
    <row r="3" spans="1:14" ht="29.25" customHeight="1" x14ac:dyDescent="0.2">
      <c r="A3" s="386" t="s">
        <v>481</v>
      </c>
      <c r="B3" s="387"/>
      <c r="C3" s="258"/>
      <c r="D3" s="386" t="s">
        <v>482</v>
      </c>
      <c r="E3" s="387"/>
      <c r="F3" s="265"/>
      <c r="G3" s="257"/>
      <c r="H3" s="257"/>
      <c r="I3" s="257"/>
      <c r="J3" s="257"/>
      <c r="K3" s="257"/>
      <c r="L3" s="257"/>
      <c r="M3" s="257"/>
      <c r="N3" s="257"/>
    </row>
    <row r="4" spans="1:14" ht="25.5" x14ac:dyDescent="0.2">
      <c r="A4" s="159" t="s">
        <v>366</v>
      </c>
      <c r="B4" s="162"/>
      <c r="C4" s="258"/>
      <c r="D4" s="159" t="s">
        <v>366</v>
      </c>
      <c r="E4" s="162"/>
      <c r="F4" s="265"/>
      <c r="G4" s="257"/>
      <c r="H4" s="257"/>
      <c r="I4" s="257"/>
      <c r="J4" s="257"/>
      <c r="K4" s="257"/>
      <c r="L4" s="257"/>
      <c r="M4" s="257"/>
      <c r="N4" s="257"/>
    </row>
    <row r="5" spans="1:14" ht="3.75" customHeight="1" x14ac:dyDescent="0.2">
      <c r="A5" s="187"/>
      <c r="B5" s="174"/>
      <c r="C5" s="258"/>
      <c r="D5" s="25"/>
      <c r="E5" s="174"/>
      <c r="F5" s="265"/>
      <c r="G5" s="257"/>
      <c r="H5" s="257"/>
      <c r="I5" s="257"/>
      <c r="J5" s="257"/>
      <c r="K5" s="257"/>
      <c r="L5" s="257"/>
      <c r="M5" s="257"/>
      <c r="N5" s="257"/>
    </row>
    <row r="6" spans="1:14" s="196" customFormat="1" ht="40.5" customHeight="1" x14ac:dyDescent="0.2">
      <c r="A6" s="194" t="s">
        <v>367</v>
      </c>
      <c r="B6" s="195"/>
      <c r="C6" s="275"/>
      <c r="D6" s="194" t="s">
        <v>367</v>
      </c>
      <c r="E6" s="195"/>
      <c r="F6" s="266"/>
      <c r="G6" s="267"/>
      <c r="H6" s="267"/>
      <c r="I6" s="267"/>
      <c r="J6" s="267"/>
      <c r="K6" s="267"/>
      <c r="L6" s="267"/>
      <c r="M6" s="267"/>
      <c r="N6" s="270"/>
    </row>
    <row r="7" spans="1:14" ht="3.75" customHeight="1" x14ac:dyDescent="0.2">
      <c r="A7" s="187"/>
      <c r="B7" s="174"/>
      <c r="C7" s="258"/>
      <c r="D7" s="25"/>
      <c r="E7" s="174"/>
      <c r="F7" s="265"/>
      <c r="G7" s="257"/>
      <c r="H7" s="257"/>
      <c r="I7" s="257"/>
      <c r="J7" s="257"/>
      <c r="K7" s="257"/>
      <c r="L7" s="257"/>
      <c r="M7" s="257"/>
      <c r="N7" s="257"/>
    </row>
    <row r="8" spans="1:14" s="196" customFormat="1" ht="40.5" customHeight="1" x14ac:dyDescent="0.2">
      <c r="A8" s="194" t="s">
        <v>388</v>
      </c>
      <c r="B8" s="195"/>
      <c r="C8" s="275"/>
      <c r="D8" s="194" t="s">
        <v>369</v>
      </c>
      <c r="E8" s="195"/>
      <c r="F8" s="266"/>
      <c r="G8" s="267"/>
      <c r="H8" s="267"/>
      <c r="I8" s="267"/>
      <c r="J8" s="267"/>
      <c r="K8" s="267"/>
      <c r="L8" s="267"/>
      <c r="M8" s="267"/>
      <c r="N8" s="267"/>
    </row>
    <row r="9" spans="1:14" ht="3.75" customHeight="1" x14ac:dyDescent="0.2">
      <c r="A9" s="187"/>
      <c r="B9" s="174"/>
      <c r="C9" s="258"/>
      <c r="D9" s="25"/>
      <c r="E9" s="174"/>
      <c r="F9" s="265"/>
      <c r="G9" s="257"/>
      <c r="H9" s="257"/>
      <c r="I9" s="257"/>
      <c r="J9" s="257"/>
      <c r="K9" s="257"/>
      <c r="L9" s="257"/>
      <c r="M9" s="257"/>
      <c r="N9" s="257"/>
    </row>
    <row r="10" spans="1:14" s="196" customFormat="1" ht="30" customHeight="1" thickBot="1" x14ac:dyDescent="0.25">
      <c r="A10" s="197" t="s">
        <v>368</v>
      </c>
      <c r="B10" s="198"/>
      <c r="C10" s="275"/>
      <c r="D10" s="197" t="s">
        <v>370</v>
      </c>
      <c r="E10" s="198"/>
      <c r="F10" s="266"/>
      <c r="G10" s="266"/>
      <c r="H10" s="266"/>
      <c r="I10" s="268"/>
      <c r="J10" s="268"/>
      <c r="K10" s="268"/>
      <c r="L10" s="267"/>
      <c r="M10" s="267"/>
      <c r="N10" s="267"/>
    </row>
    <row r="11" spans="1:14" ht="6" customHeight="1" thickBot="1" x14ac:dyDescent="0.25">
      <c r="A11" s="257"/>
      <c r="B11" s="257"/>
      <c r="C11" s="257"/>
      <c r="D11" s="257"/>
      <c r="E11" s="257"/>
      <c r="F11" s="257"/>
      <c r="G11" s="257"/>
      <c r="H11" s="257"/>
      <c r="I11" s="257"/>
      <c r="J11" s="257"/>
      <c r="K11" s="257"/>
      <c r="L11" s="257"/>
      <c r="M11" s="257"/>
      <c r="N11" s="257"/>
    </row>
    <row r="12" spans="1:14" ht="23.25" customHeight="1" thickBot="1" x14ac:dyDescent="0.25">
      <c r="A12" s="383" t="s">
        <v>285</v>
      </c>
      <c r="B12" s="384"/>
      <c r="C12" s="384"/>
      <c r="D12" s="384"/>
      <c r="E12" s="385"/>
      <c r="F12" s="258"/>
      <c r="G12" s="383" t="s">
        <v>286</v>
      </c>
      <c r="H12" s="384"/>
      <c r="I12" s="384"/>
      <c r="J12" s="385"/>
      <c r="K12" s="257"/>
      <c r="L12" s="269"/>
      <c r="M12" s="257"/>
      <c r="N12" s="257"/>
    </row>
    <row r="13" spans="1:14" ht="39.75" customHeight="1" thickBot="1" x14ac:dyDescent="0.25">
      <c r="A13" s="189"/>
      <c r="B13" s="400"/>
      <c r="C13" s="400"/>
      <c r="D13" s="400"/>
      <c r="E13" s="191"/>
      <c r="F13" s="258"/>
      <c r="G13" s="284" t="s">
        <v>484</v>
      </c>
      <c r="H13" s="284" t="s">
        <v>490</v>
      </c>
      <c r="I13" s="284" t="s">
        <v>491</v>
      </c>
      <c r="J13" s="284" t="s">
        <v>492</v>
      </c>
      <c r="K13" s="257"/>
      <c r="L13" s="257"/>
      <c r="M13" s="257"/>
      <c r="N13" s="257"/>
    </row>
    <row r="14" spans="1:14" x14ac:dyDescent="0.2">
      <c r="A14" s="189"/>
      <c r="B14" s="190"/>
      <c r="C14" s="190"/>
      <c r="D14" s="190"/>
      <c r="E14" s="191"/>
      <c r="F14" s="258"/>
      <c r="G14" s="398" t="str">
        <f>CONCATENATE(VLOOKUP(A50,A57:G74,7),"  Rad")</f>
        <v>.050  Rad</v>
      </c>
      <c r="H14" s="401">
        <v>700</v>
      </c>
      <c r="I14" s="401">
        <v>60</v>
      </c>
      <c r="J14" s="398"/>
      <c r="K14" s="257"/>
      <c r="L14" s="257"/>
      <c r="M14" s="257"/>
      <c r="N14" s="257"/>
    </row>
    <row r="15" spans="1:14" ht="13.5" thickBot="1" x14ac:dyDescent="0.25">
      <c r="A15" s="189"/>
      <c r="B15" s="190"/>
      <c r="C15" s="161"/>
      <c r="D15" s="190"/>
      <c r="E15" s="192"/>
      <c r="F15" s="258"/>
      <c r="G15" s="399"/>
      <c r="H15" s="402"/>
      <c r="I15" s="402"/>
      <c r="J15" s="399"/>
      <c r="K15" s="257"/>
      <c r="L15" s="257"/>
      <c r="M15" s="257"/>
      <c r="N15" s="257"/>
    </row>
    <row r="16" spans="1:14" ht="12.75" customHeight="1" x14ac:dyDescent="0.2">
      <c r="A16" s="189"/>
      <c r="B16" s="190"/>
      <c r="C16" s="190"/>
      <c r="D16" s="190"/>
      <c r="E16" s="192"/>
      <c r="F16" s="258"/>
      <c r="G16" s="392" t="s">
        <v>483</v>
      </c>
      <c r="H16" s="393"/>
      <c r="I16" s="403" t="str">
        <f>CONCATENATE(IF(D46="R/hr",ROUND((VLOOKUP(A50,A69:G74,7)*60/((H14+I14)/2)),0),IF(D46="mR/hr",ROUND((VLOOKUP(A50,A69:G74,7)*60/((H14+I14)/2000)),0),"Select Units")),"  minutes")</f>
        <v>8  minutes</v>
      </c>
      <c r="J16" s="404"/>
      <c r="K16" s="257"/>
      <c r="L16" s="257"/>
      <c r="M16" s="257"/>
      <c r="N16" s="257"/>
    </row>
    <row r="17" spans="1:14" ht="13.5" customHeight="1" x14ac:dyDescent="0.2">
      <c r="A17" s="189"/>
      <c r="B17" s="190"/>
      <c r="C17" s="190"/>
      <c r="D17" s="190"/>
      <c r="E17" s="192"/>
      <c r="F17" s="258"/>
      <c r="G17" s="394"/>
      <c r="H17" s="395"/>
      <c r="I17" s="395"/>
      <c r="J17" s="405"/>
      <c r="K17" s="257"/>
      <c r="L17" s="257"/>
      <c r="M17" s="257"/>
      <c r="N17" s="257"/>
    </row>
    <row r="18" spans="1:14" ht="13.5" customHeight="1" x14ac:dyDescent="0.2">
      <c r="A18" s="189"/>
      <c r="B18" s="190"/>
      <c r="C18" s="190"/>
      <c r="D18" s="190"/>
      <c r="E18" s="192"/>
      <c r="F18" s="258"/>
      <c r="G18" s="394"/>
      <c r="H18" s="395"/>
      <c r="I18" s="395"/>
      <c r="J18" s="405"/>
      <c r="K18" s="257"/>
      <c r="L18" s="257"/>
      <c r="M18" s="257"/>
      <c r="N18" s="257"/>
    </row>
    <row r="19" spans="1:14" ht="13.5" customHeight="1" x14ac:dyDescent="0.2">
      <c r="A19" s="189"/>
      <c r="B19" s="190"/>
      <c r="C19" s="190"/>
      <c r="D19" s="190"/>
      <c r="E19" s="192"/>
      <c r="F19" s="258"/>
      <c r="G19" s="394"/>
      <c r="H19" s="395"/>
      <c r="I19" s="395"/>
      <c r="J19" s="405"/>
      <c r="K19" s="257"/>
      <c r="L19" s="257"/>
      <c r="M19" s="257"/>
      <c r="N19" s="257"/>
    </row>
    <row r="20" spans="1:14" ht="11.25" customHeight="1" thickBot="1" x14ac:dyDescent="0.25">
      <c r="A20" s="208"/>
      <c r="B20" s="209"/>
      <c r="C20" s="209"/>
      <c r="D20" s="209"/>
      <c r="E20" s="210"/>
      <c r="F20" s="258"/>
      <c r="G20" s="396"/>
      <c r="H20" s="397"/>
      <c r="I20" s="397"/>
      <c r="J20" s="406"/>
      <c r="K20" s="257"/>
      <c r="L20" s="257"/>
      <c r="M20" s="257"/>
      <c r="N20" s="257"/>
    </row>
    <row r="21" spans="1:14" ht="6" customHeight="1" thickBot="1" x14ac:dyDescent="0.25">
      <c r="A21" s="257"/>
      <c r="B21" s="257"/>
      <c r="C21" s="257"/>
      <c r="D21" s="257"/>
      <c r="E21" s="257"/>
      <c r="F21" s="257"/>
      <c r="G21" s="257"/>
      <c r="H21" s="257"/>
      <c r="I21" s="257"/>
      <c r="J21" s="257"/>
      <c r="K21" s="257"/>
      <c r="L21" s="257"/>
      <c r="M21" s="257"/>
      <c r="N21" s="257"/>
    </row>
    <row r="22" spans="1:14" ht="19.5" customHeight="1" thickBot="1" x14ac:dyDescent="0.25">
      <c r="A22" s="388" t="s">
        <v>372</v>
      </c>
      <c r="B22" s="389"/>
      <c r="C22" s="389"/>
      <c r="D22" s="389"/>
      <c r="E22" s="390"/>
      <c r="F22" s="390"/>
      <c r="G22" s="390"/>
      <c r="H22" s="391"/>
      <c r="I22" s="257"/>
      <c r="J22" s="257"/>
      <c r="K22" s="257"/>
      <c r="L22" s="257"/>
      <c r="M22" s="257"/>
      <c r="N22" s="257"/>
    </row>
    <row r="23" spans="1:14" ht="15" customHeight="1" x14ac:dyDescent="0.2">
      <c r="A23" s="203"/>
      <c r="B23" s="207"/>
      <c r="C23" s="207"/>
      <c r="D23" s="207"/>
      <c r="E23" s="201"/>
      <c r="F23" s="201"/>
      <c r="G23" s="201"/>
      <c r="H23" s="202"/>
      <c r="I23" s="257"/>
      <c r="J23" s="257"/>
      <c r="K23" s="257"/>
      <c r="L23" s="257"/>
      <c r="M23" s="257"/>
      <c r="N23" s="257"/>
    </row>
    <row r="24" spans="1:14" ht="15" customHeight="1" x14ac:dyDescent="0.2">
      <c r="A24" s="164"/>
      <c r="B24" s="161"/>
      <c r="C24" s="161"/>
      <c r="D24" s="161"/>
      <c r="E24" s="161"/>
      <c r="F24" s="161"/>
      <c r="G24" s="161"/>
      <c r="H24" s="162"/>
      <c r="I24" s="257"/>
      <c r="J24" s="257"/>
      <c r="K24" s="257"/>
      <c r="L24" s="257"/>
      <c r="M24" s="257"/>
      <c r="N24" s="257"/>
    </row>
    <row r="25" spans="1:14" ht="15" customHeight="1" x14ac:dyDescent="0.2">
      <c r="A25" s="164"/>
      <c r="B25" s="161"/>
      <c r="C25" s="161"/>
      <c r="D25" s="161"/>
      <c r="E25" s="161"/>
      <c r="F25" s="161"/>
      <c r="G25" s="161"/>
      <c r="H25" s="162"/>
      <c r="I25" s="257"/>
      <c r="J25" s="257"/>
      <c r="K25" s="257"/>
      <c r="L25" s="257"/>
      <c r="M25" s="257"/>
      <c r="N25" s="257"/>
    </row>
    <row r="26" spans="1:14" ht="15" customHeight="1" x14ac:dyDescent="0.2">
      <c r="A26" s="164"/>
      <c r="B26" s="190"/>
      <c r="C26" s="190"/>
      <c r="D26" s="190"/>
      <c r="E26" s="161"/>
      <c r="F26" s="161"/>
      <c r="G26" s="161"/>
      <c r="H26" s="162"/>
      <c r="I26" s="257"/>
      <c r="J26" s="257"/>
      <c r="K26" s="257"/>
      <c r="L26" s="257"/>
      <c r="M26" s="257"/>
      <c r="N26" s="257"/>
    </row>
    <row r="27" spans="1:14" ht="15" customHeight="1" x14ac:dyDescent="0.2">
      <c r="A27" s="164"/>
      <c r="B27" s="161"/>
      <c r="C27" s="161"/>
      <c r="D27" s="161"/>
      <c r="E27" s="161"/>
      <c r="F27" s="161"/>
      <c r="G27" s="161"/>
      <c r="H27" s="162"/>
      <c r="I27" s="257"/>
      <c r="J27" s="257"/>
      <c r="K27" s="257"/>
      <c r="L27" s="257"/>
      <c r="M27" s="257"/>
      <c r="N27" s="257"/>
    </row>
    <row r="28" spans="1:14" ht="15" customHeight="1" x14ac:dyDescent="0.2">
      <c r="A28" s="164"/>
      <c r="B28" s="190"/>
      <c r="C28" s="190"/>
      <c r="D28" s="190"/>
      <c r="E28" s="161"/>
      <c r="F28" s="161"/>
      <c r="G28" s="161"/>
      <c r="H28" s="162"/>
      <c r="I28" s="257"/>
      <c r="J28" s="257"/>
      <c r="K28" s="257"/>
      <c r="L28" s="257"/>
      <c r="M28" s="257"/>
      <c r="N28" s="257"/>
    </row>
    <row r="29" spans="1:14" ht="6" customHeight="1" thickBot="1" x14ac:dyDescent="0.25">
      <c r="A29" s="165"/>
      <c r="B29" s="166"/>
      <c r="C29" s="166"/>
      <c r="D29" s="166"/>
      <c r="E29" s="166"/>
      <c r="F29" s="166"/>
      <c r="G29" s="166"/>
      <c r="H29" s="168"/>
      <c r="I29" s="257"/>
      <c r="J29" s="257"/>
      <c r="K29" s="257"/>
      <c r="L29" s="257"/>
      <c r="M29" s="257"/>
      <c r="N29" s="257"/>
    </row>
    <row r="30" spans="1:14" ht="15" customHeight="1" x14ac:dyDescent="0.2">
      <c r="A30" s="258"/>
      <c r="B30" s="257"/>
      <c r="C30" s="257"/>
      <c r="D30" s="257"/>
      <c r="E30" s="257"/>
      <c r="F30" s="257"/>
      <c r="G30" s="257"/>
      <c r="H30" s="257"/>
      <c r="I30" s="257"/>
      <c r="J30" s="257"/>
      <c r="K30" s="257"/>
      <c r="L30" s="257"/>
      <c r="M30" s="257"/>
      <c r="N30" s="257"/>
    </row>
    <row r="31" spans="1:14" ht="15" customHeight="1" x14ac:dyDescent="0.2">
      <c r="A31" s="258"/>
      <c r="B31" s="258"/>
      <c r="C31" s="258"/>
      <c r="D31" s="258"/>
      <c r="E31" s="258"/>
      <c r="F31" s="257"/>
      <c r="G31" s="257"/>
      <c r="H31" s="257"/>
      <c r="I31" s="257"/>
      <c r="J31" s="257"/>
      <c r="K31" s="257"/>
      <c r="L31" s="257"/>
      <c r="M31" s="257"/>
      <c r="N31" s="257"/>
    </row>
    <row r="32" spans="1:14" ht="15" customHeight="1" x14ac:dyDescent="0.2">
      <c r="A32" s="258"/>
      <c r="B32" s="258"/>
      <c r="C32" s="258"/>
      <c r="D32" s="258"/>
      <c r="E32" s="258"/>
      <c r="F32" s="257"/>
      <c r="G32" s="257"/>
      <c r="H32" s="257"/>
      <c r="I32" s="257"/>
      <c r="J32" s="257"/>
      <c r="K32" s="257"/>
      <c r="L32" s="257"/>
      <c r="M32" s="257"/>
      <c r="N32" s="257"/>
    </row>
    <row r="33" spans="1:14" ht="15" customHeight="1" x14ac:dyDescent="0.2">
      <c r="A33" s="258"/>
      <c r="B33" s="258"/>
      <c r="C33" s="258"/>
      <c r="D33" s="258"/>
      <c r="E33" s="258"/>
      <c r="F33" s="257"/>
      <c r="G33" s="257"/>
      <c r="H33" s="257"/>
      <c r="I33" s="257"/>
      <c r="J33" s="257"/>
      <c r="K33" s="257"/>
      <c r="L33" s="257"/>
      <c r="M33" s="257"/>
      <c r="N33" s="257"/>
    </row>
    <row r="34" spans="1:14" ht="15" customHeight="1" x14ac:dyDescent="0.2">
      <c r="A34" s="258"/>
      <c r="B34" s="258"/>
      <c r="C34" s="258"/>
      <c r="D34" s="258"/>
      <c r="E34" s="258"/>
      <c r="F34" s="257"/>
      <c r="G34" s="257"/>
      <c r="H34" s="257"/>
      <c r="I34" s="257"/>
      <c r="J34" s="257"/>
      <c r="K34" s="257"/>
      <c r="L34" s="257"/>
      <c r="M34" s="257"/>
      <c r="N34" s="257"/>
    </row>
    <row r="35" spans="1:14" ht="15" customHeight="1" x14ac:dyDescent="0.2">
      <c r="A35" s="258"/>
      <c r="B35" s="258"/>
      <c r="C35" s="258"/>
      <c r="D35" s="258"/>
      <c r="E35" s="258"/>
      <c r="F35" s="257"/>
      <c r="G35" s="257"/>
      <c r="H35" s="257"/>
      <c r="I35" s="257"/>
      <c r="J35" s="257"/>
      <c r="K35" s="257"/>
      <c r="L35" s="257"/>
      <c r="M35" s="257"/>
      <c r="N35" s="257"/>
    </row>
    <row r="36" spans="1:14" ht="15" customHeight="1" x14ac:dyDescent="0.2">
      <c r="A36" s="258"/>
      <c r="B36" s="258"/>
      <c r="C36" s="258"/>
      <c r="D36" s="258"/>
      <c r="E36" s="258"/>
      <c r="F36" s="257"/>
      <c r="G36" s="257"/>
      <c r="H36" s="257"/>
      <c r="I36" s="257"/>
      <c r="J36" s="257"/>
      <c r="K36" s="257"/>
      <c r="L36" s="257"/>
      <c r="M36" s="257"/>
      <c r="N36" s="257"/>
    </row>
    <row r="37" spans="1:14" ht="15" customHeight="1" x14ac:dyDescent="0.2">
      <c r="A37" s="258"/>
      <c r="B37" s="258"/>
      <c r="C37" s="258"/>
      <c r="D37" s="258"/>
      <c r="E37" s="258"/>
      <c r="F37" s="257"/>
      <c r="G37" s="257"/>
      <c r="H37" s="257"/>
      <c r="I37" s="257"/>
      <c r="J37" s="257"/>
      <c r="K37" s="257"/>
      <c r="L37" s="257"/>
      <c r="M37" s="257"/>
      <c r="N37" s="257"/>
    </row>
    <row r="38" spans="1:14" ht="15" customHeight="1" x14ac:dyDescent="0.2">
      <c r="A38" s="258"/>
      <c r="B38" s="258"/>
      <c r="C38" s="258"/>
      <c r="D38" s="258"/>
      <c r="E38" s="258"/>
      <c r="F38" s="257"/>
      <c r="G38" s="257"/>
      <c r="H38" s="257"/>
      <c r="I38" s="257"/>
      <c r="J38" s="257"/>
      <c r="K38" s="257"/>
      <c r="L38" s="257"/>
      <c r="M38" s="257"/>
      <c r="N38" s="257"/>
    </row>
    <row r="39" spans="1:14" ht="15" customHeight="1" x14ac:dyDescent="0.2">
      <c r="A39" s="258"/>
      <c r="B39" s="258"/>
      <c r="C39" s="258"/>
      <c r="D39" s="258"/>
      <c r="E39" s="258"/>
      <c r="F39" s="257"/>
      <c r="G39" s="257"/>
      <c r="H39" s="257"/>
      <c r="I39" s="257"/>
      <c r="J39" s="257"/>
      <c r="K39" s="257"/>
      <c r="L39" s="257"/>
      <c r="M39" s="257"/>
      <c r="N39" s="257"/>
    </row>
    <row r="40" spans="1:14" ht="15" customHeight="1" x14ac:dyDescent="0.2">
      <c r="A40" s="258"/>
      <c r="B40" s="258"/>
      <c r="C40" s="258"/>
      <c r="D40" s="258"/>
      <c r="E40" s="258"/>
      <c r="F40" s="257"/>
      <c r="G40" s="257"/>
      <c r="H40" s="257"/>
      <c r="I40" s="257"/>
      <c r="J40" s="257"/>
      <c r="K40" s="257"/>
      <c r="L40" s="257"/>
      <c r="M40" s="257"/>
      <c r="N40" s="257"/>
    </row>
    <row r="41" spans="1:14" ht="15" customHeight="1" x14ac:dyDescent="0.2">
      <c r="A41" s="258"/>
      <c r="B41" s="258"/>
      <c r="C41" s="258"/>
      <c r="D41" s="258"/>
      <c r="E41" s="258"/>
      <c r="F41" s="257"/>
      <c r="G41" s="257"/>
      <c r="H41" s="257"/>
      <c r="I41" s="257"/>
      <c r="J41" s="257"/>
      <c r="K41" s="257"/>
      <c r="L41" s="257"/>
      <c r="M41" s="257"/>
      <c r="N41" s="257"/>
    </row>
    <row r="42" spans="1:14" ht="15" customHeight="1" x14ac:dyDescent="0.2">
      <c r="A42" s="258"/>
      <c r="B42" s="258"/>
      <c r="C42" s="258"/>
      <c r="D42" s="258"/>
      <c r="E42" s="258"/>
      <c r="F42" s="257"/>
      <c r="G42" s="257"/>
      <c r="H42" s="257"/>
      <c r="I42" s="257"/>
      <c r="J42" s="257"/>
      <c r="K42" s="257"/>
      <c r="L42" s="257"/>
      <c r="M42" s="257"/>
      <c r="N42" s="257"/>
    </row>
    <row r="43" spans="1:14" ht="15" customHeight="1" x14ac:dyDescent="0.2">
      <c r="A43" s="258"/>
      <c r="B43" s="258"/>
      <c r="C43" s="258"/>
      <c r="D43" s="258"/>
      <c r="E43" s="258"/>
      <c r="F43" s="257"/>
      <c r="G43" s="257"/>
      <c r="H43" s="257"/>
      <c r="I43" s="257"/>
      <c r="J43" s="257"/>
      <c r="K43" s="257"/>
      <c r="L43" s="257"/>
      <c r="M43" s="257"/>
      <c r="N43" s="257"/>
    </row>
    <row r="44" spans="1:14" ht="15" customHeight="1" x14ac:dyDescent="0.2">
      <c r="A44" s="258"/>
      <c r="B44" s="258"/>
      <c r="C44" s="258"/>
      <c r="D44" s="258"/>
      <c r="E44" s="258"/>
      <c r="F44" s="257"/>
      <c r="G44" s="257"/>
      <c r="H44" s="257"/>
      <c r="I44" s="257"/>
      <c r="J44" s="257"/>
      <c r="K44" s="257"/>
      <c r="L44" s="257"/>
      <c r="M44" s="257"/>
      <c r="N44" s="257"/>
    </row>
    <row r="45" spans="1:14" ht="15" customHeight="1" x14ac:dyDescent="0.2">
      <c r="A45" s="265"/>
      <c r="B45" s="265"/>
      <c r="C45" s="265"/>
      <c r="D45" s="265"/>
      <c r="E45" s="265"/>
      <c r="F45" s="273"/>
      <c r="G45" s="273"/>
      <c r="H45" s="273"/>
      <c r="I45" s="271"/>
      <c r="J45" s="271"/>
      <c r="K45" s="257"/>
      <c r="L45" s="257"/>
      <c r="M45" s="257"/>
      <c r="N45" s="257"/>
    </row>
    <row r="46" spans="1:14" s="223" customFormat="1" ht="15" customHeight="1" x14ac:dyDescent="0.2">
      <c r="A46" s="274" t="s">
        <v>287</v>
      </c>
      <c r="B46" s="274" t="s">
        <v>634</v>
      </c>
      <c r="C46" s="272" t="s">
        <v>330</v>
      </c>
      <c r="D46" s="272" t="s">
        <v>330</v>
      </c>
      <c r="E46" s="272"/>
      <c r="F46" s="272"/>
      <c r="G46" s="272"/>
      <c r="H46" s="272"/>
      <c r="I46" s="272"/>
      <c r="J46" s="272"/>
      <c r="K46" s="272"/>
      <c r="L46" s="272"/>
      <c r="M46" s="272"/>
      <c r="N46" s="272"/>
    </row>
    <row r="47" spans="1:14" s="223" customFormat="1" ht="15" customHeight="1" x14ac:dyDescent="0.2">
      <c r="A47" s="274" t="s">
        <v>555</v>
      </c>
      <c r="B47" s="306">
        <f>B46*A46^2/A47^2</f>
        <v>19725</v>
      </c>
      <c r="C47" s="272" t="s">
        <v>331</v>
      </c>
      <c r="D47" s="272"/>
      <c r="E47" s="272"/>
      <c r="F47" s="272"/>
      <c r="G47" s="272"/>
      <c r="H47" s="272"/>
      <c r="I47" s="272"/>
      <c r="J47" s="272"/>
      <c r="K47" s="272"/>
      <c r="L47" s="272"/>
      <c r="M47" s="272"/>
      <c r="N47" s="272"/>
    </row>
    <row r="48" spans="1:14" s="223" customFormat="1" ht="15" customHeight="1" x14ac:dyDescent="0.2">
      <c r="A48" s="193" t="s">
        <v>635</v>
      </c>
      <c r="B48" s="193" t="s">
        <v>287</v>
      </c>
    </row>
    <row r="49" spans="1:10" s="223" customFormat="1" ht="15" customHeight="1" x14ac:dyDescent="0.2">
      <c r="A49" s="193" t="s">
        <v>554</v>
      </c>
      <c r="B49" s="307">
        <f>IF(OR(ISBLANK(A48),ISBLANK(B48),ISBLANK(A49)),"",ROUND(SQRT(POWER(A48,2)*B48/A49),1))</f>
        <v>284.60000000000002</v>
      </c>
      <c r="C49" s="224"/>
    </row>
    <row r="50" spans="1:10" s="223" customFormat="1" ht="20.25" customHeight="1" x14ac:dyDescent="0.2">
      <c r="A50" s="225">
        <v>1</v>
      </c>
      <c r="B50" s="223" t="s">
        <v>276</v>
      </c>
      <c r="C50" s="223" t="s">
        <v>323</v>
      </c>
      <c r="D50" s="223" t="s">
        <v>324</v>
      </c>
      <c r="E50" s="223" t="s">
        <v>325</v>
      </c>
    </row>
    <row r="51" spans="1:10" s="223" customFormat="1" ht="66" customHeight="1" x14ac:dyDescent="0.2">
      <c r="A51" s="226">
        <v>6</v>
      </c>
      <c r="B51" s="303">
        <f>VLOOKUP(A50,A69:F74,3)</f>
        <v>0</v>
      </c>
      <c r="C51" s="303" t="str">
        <f>VLOOKUP(A50,A69:F74,4)</f>
        <v>No Risk</v>
      </c>
      <c r="D51" s="303" t="str">
        <f>VLOOKUP(A50,A69:F74,5)</f>
        <v>No Action Required</v>
      </c>
      <c r="E51" s="303" t="str">
        <f>VLOOKUP(A50,A69:F74,6)</f>
        <v>Negligible</v>
      </c>
      <c r="F51" s="225"/>
      <c r="G51" s="225"/>
    </row>
    <row r="52" spans="1:10" s="223" customFormat="1" ht="15" customHeight="1" x14ac:dyDescent="0.2">
      <c r="A52" s="223">
        <v>1</v>
      </c>
      <c r="B52" s="226"/>
    </row>
    <row r="53" spans="1:10" s="223" customFormat="1" ht="15" customHeight="1" x14ac:dyDescent="0.2">
      <c r="A53" s="226">
        <v>1</v>
      </c>
      <c r="B53" s="305" t="str">
        <f>VLOOKUP(A53,A78:E85,3)</f>
        <v>Mild</v>
      </c>
      <c r="C53" s="304" t="str">
        <f>VLOOKUP(A53,A78:E85,4)</f>
        <v>Slight decrease in blood cell count</v>
      </c>
      <c r="D53" s="304" t="str">
        <f>VLOOKUP(A53,A78:E85,5)</f>
        <v>Virtually certain</v>
      </c>
    </row>
    <row r="54" spans="1:10" s="223" customFormat="1" ht="15" customHeight="1" x14ac:dyDescent="0.2">
      <c r="A54" s="226">
        <v>1</v>
      </c>
      <c r="B54" s="226"/>
    </row>
    <row r="55" spans="1:10" s="223" customFormat="1" ht="15" customHeight="1" x14ac:dyDescent="0.2">
      <c r="A55" s="226">
        <v>1</v>
      </c>
      <c r="B55" s="226"/>
      <c r="C55" s="226"/>
      <c r="D55" s="226"/>
      <c r="E55" s="226"/>
    </row>
    <row r="56" spans="1:10" s="223" customFormat="1" ht="15" customHeight="1" x14ac:dyDescent="0.2">
      <c r="A56" s="226">
        <v>6</v>
      </c>
      <c r="B56" s="226"/>
      <c r="C56" s="226"/>
      <c r="D56" s="226"/>
      <c r="E56" s="226"/>
    </row>
    <row r="57" spans="1:10" s="223" customFormat="1" ht="15" customHeight="1" x14ac:dyDescent="0.2">
      <c r="A57" s="226"/>
      <c r="B57" s="226"/>
      <c r="C57" s="226"/>
      <c r="D57" s="226"/>
      <c r="E57" s="226"/>
    </row>
    <row r="58" spans="1:10" s="223" customFormat="1" x14ac:dyDescent="0.2">
      <c r="A58" s="226"/>
      <c r="B58" s="226"/>
      <c r="C58" s="226"/>
      <c r="D58" s="226"/>
      <c r="E58" s="226"/>
    </row>
    <row r="59" spans="1:10" s="223" customFormat="1" x14ac:dyDescent="0.2">
      <c r="A59" s="227">
        <v>1</v>
      </c>
    </row>
    <row r="60" spans="1:10" s="223" customFormat="1" x14ac:dyDescent="0.2">
      <c r="A60" s="227"/>
    </row>
    <row r="61" spans="1:10" s="223" customFormat="1" x14ac:dyDescent="0.2">
      <c r="A61" s="227"/>
    </row>
    <row r="62" spans="1:10" x14ac:dyDescent="0.2">
      <c r="A62" s="222"/>
      <c r="B62" s="173"/>
      <c r="C62" s="173"/>
      <c r="D62" s="173"/>
      <c r="E62" s="173"/>
      <c r="F62" s="173"/>
      <c r="G62" s="173"/>
      <c r="H62" s="173"/>
      <c r="I62" s="173"/>
      <c r="J62" s="173"/>
    </row>
    <row r="63" spans="1:10" x14ac:dyDescent="0.2">
      <c r="A63" s="222"/>
      <c r="B63" s="173"/>
      <c r="C63" s="173"/>
      <c r="D63" s="173"/>
      <c r="E63" s="173"/>
      <c r="F63" s="173"/>
      <c r="G63" s="173"/>
      <c r="H63" s="173"/>
      <c r="I63" s="173"/>
      <c r="J63" s="173"/>
    </row>
    <row r="68" spans="1:9" x14ac:dyDescent="0.2">
      <c r="A68" t="s">
        <v>334</v>
      </c>
      <c r="B68" t="s">
        <v>333</v>
      </c>
      <c r="C68" t="s">
        <v>304</v>
      </c>
      <c r="D68" t="s">
        <v>335</v>
      </c>
      <c r="E68" t="s">
        <v>277</v>
      </c>
      <c r="F68" t="s">
        <v>309</v>
      </c>
      <c r="G68" t="s">
        <v>336</v>
      </c>
    </row>
    <row r="69" spans="1:9" x14ac:dyDescent="0.2">
      <c r="A69">
        <v>1</v>
      </c>
      <c r="B69" t="s">
        <v>316</v>
      </c>
      <c r="C69" s="4">
        <v>0</v>
      </c>
      <c r="D69" t="s">
        <v>289</v>
      </c>
      <c r="E69" t="s">
        <v>332</v>
      </c>
      <c r="F69" s="188" t="s">
        <v>311</v>
      </c>
      <c r="G69" s="188" t="s">
        <v>327</v>
      </c>
      <c r="H69" t="s">
        <v>296</v>
      </c>
      <c r="I69" t="s">
        <v>297</v>
      </c>
    </row>
    <row r="70" spans="1:9" ht="51" x14ac:dyDescent="0.2">
      <c r="A70">
        <v>2</v>
      </c>
      <c r="B70" t="s">
        <v>317</v>
      </c>
      <c r="C70" s="4" t="s">
        <v>278</v>
      </c>
      <c r="D70" t="s">
        <v>290</v>
      </c>
      <c r="E70" s="69" t="s">
        <v>305</v>
      </c>
      <c r="F70" s="188" t="s">
        <v>310</v>
      </c>
      <c r="G70" s="188" t="s">
        <v>295</v>
      </c>
      <c r="H70" t="s">
        <v>298</v>
      </c>
      <c r="I70" t="s">
        <v>299</v>
      </c>
    </row>
    <row r="71" spans="1:9" ht="114.75" x14ac:dyDescent="0.2">
      <c r="A71">
        <v>3</v>
      </c>
      <c r="B71" t="s">
        <v>318</v>
      </c>
      <c r="C71" s="4" t="s">
        <v>279</v>
      </c>
      <c r="D71" t="s">
        <v>291</v>
      </c>
      <c r="E71" s="69" t="s">
        <v>306</v>
      </c>
      <c r="F71" s="188" t="s">
        <v>312</v>
      </c>
      <c r="G71" s="188" t="s">
        <v>288</v>
      </c>
      <c r="H71" t="s">
        <v>319</v>
      </c>
      <c r="I71" t="s">
        <v>320</v>
      </c>
    </row>
    <row r="72" spans="1:9" ht="191.25" x14ac:dyDescent="0.2">
      <c r="A72">
        <v>4</v>
      </c>
      <c r="B72" t="s">
        <v>321</v>
      </c>
      <c r="C72" s="4" t="s">
        <v>280</v>
      </c>
      <c r="D72" t="s">
        <v>292</v>
      </c>
      <c r="E72" s="69" t="s">
        <v>307</v>
      </c>
      <c r="F72" s="188" t="s">
        <v>313</v>
      </c>
      <c r="G72" s="188" t="s">
        <v>287</v>
      </c>
      <c r="H72" t="s">
        <v>300</v>
      </c>
      <c r="I72" t="s">
        <v>301</v>
      </c>
    </row>
    <row r="73" spans="1:9" ht="153" x14ac:dyDescent="0.2">
      <c r="A73">
        <v>5</v>
      </c>
      <c r="B73" t="s">
        <v>326</v>
      </c>
      <c r="C73" s="4" t="s">
        <v>281</v>
      </c>
      <c r="D73" t="s">
        <v>293</v>
      </c>
      <c r="E73" s="69" t="s">
        <v>308</v>
      </c>
      <c r="F73" s="188" t="s">
        <v>314</v>
      </c>
      <c r="G73" s="188" t="s">
        <v>328</v>
      </c>
      <c r="H73" t="s">
        <v>302</v>
      </c>
      <c r="I73" t="s">
        <v>303</v>
      </c>
    </row>
    <row r="74" spans="1:9" ht="153" x14ac:dyDescent="0.2">
      <c r="A74">
        <v>6</v>
      </c>
      <c r="B74" t="s">
        <v>322</v>
      </c>
      <c r="C74" s="4" t="s">
        <v>282</v>
      </c>
      <c r="D74" t="s">
        <v>294</v>
      </c>
      <c r="E74" s="69" t="s">
        <v>308</v>
      </c>
      <c r="F74" s="188" t="s">
        <v>315</v>
      </c>
      <c r="G74" s="188" t="s">
        <v>329</v>
      </c>
    </row>
    <row r="77" spans="1:9" x14ac:dyDescent="0.2">
      <c r="B77" t="s">
        <v>337</v>
      </c>
      <c r="C77" s="4" t="s">
        <v>338</v>
      </c>
      <c r="D77" s="69" t="s">
        <v>351</v>
      </c>
      <c r="E77" s="69" t="s">
        <v>339</v>
      </c>
    </row>
    <row r="78" spans="1:9" ht="25.5" x14ac:dyDescent="0.2">
      <c r="A78">
        <v>1</v>
      </c>
      <c r="B78" t="s">
        <v>340</v>
      </c>
      <c r="C78" s="4" t="s">
        <v>347</v>
      </c>
      <c r="D78" s="69" t="s">
        <v>493</v>
      </c>
      <c r="E78" s="69" t="s">
        <v>357</v>
      </c>
    </row>
    <row r="79" spans="1:9" ht="25.5" x14ac:dyDescent="0.2">
      <c r="A79">
        <v>2</v>
      </c>
      <c r="B79" t="s">
        <v>341</v>
      </c>
      <c r="C79" s="4" t="s">
        <v>348</v>
      </c>
      <c r="D79" s="69" t="s">
        <v>352</v>
      </c>
      <c r="E79" s="69" t="s">
        <v>364</v>
      </c>
    </row>
    <row r="80" spans="1:9" ht="25.5" x14ac:dyDescent="0.2">
      <c r="A80">
        <v>3</v>
      </c>
      <c r="B80" t="s">
        <v>342</v>
      </c>
      <c r="C80" s="4" t="s">
        <v>349</v>
      </c>
      <c r="D80" s="69" t="s">
        <v>353</v>
      </c>
      <c r="E80" s="69" t="s">
        <v>358</v>
      </c>
    </row>
    <row r="81" spans="1:5" ht="25.5" x14ac:dyDescent="0.2">
      <c r="A81">
        <v>4</v>
      </c>
      <c r="B81" t="s">
        <v>343</v>
      </c>
      <c r="C81" s="4" t="s">
        <v>350</v>
      </c>
      <c r="D81" s="69" t="s">
        <v>354</v>
      </c>
      <c r="E81" s="69" t="s">
        <v>363</v>
      </c>
    </row>
    <row r="82" spans="1:5" ht="38.25" x14ac:dyDescent="0.2">
      <c r="A82">
        <v>5</v>
      </c>
      <c r="B82" t="s">
        <v>344</v>
      </c>
      <c r="C82" s="4" t="s">
        <v>350</v>
      </c>
      <c r="D82" s="69" t="s">
        <v>494</v>
      </c>
      <c r="E82" s="69" t="s">
        <v>362</v>
      </c>
    </row>
    <row r="83" spans="1:5" ht="38.25" x14ac:dyDescent="0.2">
      <c r="A83">
        <v>6</v>
      </c>
      <c r="B83" t="s">
        <v>345</v>
      </c>
      <c r="C83" s="4" t="s">
        <v>350</v>
      </c>
      <c r="D83" s="69" t="s">
        <v>355</v>
      </c>
      <c r="E83" s="69" t="s">
        <v>361</v>
      </c>
    </row>
    <row r="84" spans="1:5" ht="51" x14ac:dyDescent="0.2">
      <c r="A84">
        <v>7</v>
      </c>
      <c r="B84" t="s">
        <v>346</v>
      </c>
      <c r="C84" s="4" t="s">
        <v>350</v>
      </c>
      <c r="D84" s="69" t="s">
        <v>373</v>
      </c>
      <c r="E84" s="69" t="s">
        <v>360</v>
      </c>
    </row>
    <row r="85" spans="1:5" ht="25.5" x14ac:dyDescent="0.2">
      <c r="A85">
        <v>8</v>
      </c>
      <c r="B85" t="s">
        <v>486</v>
      </c>
      <c r="C85" s="4" t="s">
        <v>350</v>
      </c>
      <c r="D85" s="69" t="s">
        <v>356</v>
      </c>
      <c r="E85" t="s">
        <v>359</v>
      </c>
    </row>
  </sheetData>
  <sheetProtection sheet="1" objects="1" scenarios="1" selectLockedCells="1"/>
  <mergeCells count="13">
    <mergeCell ref="H14:H15"/>
    <mergeCell ref="I14:I15"/>
    <mergeCell ref="I16:J20"/>
    <mergeCell ref="A1:E1"/>
    <mergeCell ref="A12:E12"/>
    <mergeCell ref="D3:E3"/>
    <mergeCell ref="A3:B3"/>
    <mergeCell ref="A22:H22"/>
    <mergeCell ref="G12:J12"/>
    <mergeCell ref="G16:H20"/>
    <mergeCell ref="J14:J15"/>
    <mergeCell ref="B13:D13"/>
    <mergeCell ref="G14:G15"/>
  </mergeCells>
  <phoneticPr fontId="18" type="noConversion"/>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14373" r:id="rId4" name="ComboBox2">
          <controlPr defaultSize="0" autoLine="0" linkedCell="D46" listFillRange="C46:C47" r:id="rId5">
            <anchor moveWithCells="1">
              <from>
                <xdr:col>9</xdr:col>
                <xdr:colOff>28575</xdr:colOff>
                <xdr:row>13</xdr:row>
                <xdr:rowOff>28575</xdr:rowOff>
              </from>
              <to>
                <xdr:col>9</xdr:col>
                <xdr:colOff>695325</xdr:colOff>
                <xdr:row>14</xdr:row>
                <xdr:rowOff>142875</xdr:rowOff>
              </to>
            </anchor>
          </controlPr>
        </control>
      </mc:Choice>
      <mc:Fallback>
        <control shapeId="14373" r:id="rId4" name="ComboBox2"/>
      </mc:Fallback>
    </mc:AlternateContent>
    <mc:AlternateContent xmlns:mc="http://schemas.openxmlformats.org/markup-compatibility/2006">
      <mc:Choice Requires="x14">
        <control shapeId="14372" r:id="rId6" name="CommandButton2">
          <controlPr autoLine="0" autoPict="0" r:id="rId7">
            <anchor moveWithCells="1">
              <from>
                <xdr:col>6</xdr:col>
                <xdr:colOff>657225</xdr:colOff>
                <xdr:row>5</xdr:row>
                <xdr:rowOff>114300</xdr:rowOff>
              </from>
              <to>
                <xdr:col>8</xdr:col>
                <xdr:colOff>581025</xdr:colOff>
                <xdr:row>7</xdr:row>
                <xdr:rowOff>200025</xdr:rowOff>
              </to>
            </anchor>
          </controlPr>
        </control>
      </mc:Choice>
      <mc:Fallback>
        <control shapeId="14372" r:id="rId6" name="CommandButton2"/>
      </mc:Fallback>
    </mc:AlternateContent>
    <mc:AlternateContent xmlns:mc="http://schemas.openxmlformats.org/markup-compatibility/2006">
      <mc:Choice Requires="x14">
        <control shapeId="14371" r:id="rId8" name="CommandButton1">
          <controlPr defaultSize="0" autoLine="0" autoPict="0" r:id="rId9">
            <anchor moveWithCells="1">
              <from>
                <xdr:col>6</xdr:col>
                <xdr:colOff>676275</xdr:colOff>
                <xdr:row>2</xdr:row>
                <xdr:rowOff>114300</xdr:rowOff>
              </from>
              <to>
                <xdr:col>8</xdr:col>
                <xdr:colOff>561975</xdr:colOff>
                <xdr:row>3</xdr:row>
                <xdr:rowOff>209550</xdr:rowOff>
              </to>
            </anchor>
          </controlPr>
        </control>
      </mc:Choice>
      <mc:Fallback>
        <control shapeId="14371" r:id="rId8" name="CommandButton1"/>
      </mc:Fallback>
    </mc:AlternateContent>
    <mc:AlternateContent xmlns:mc="http://schemas.openxmlformats.org/markup-compatibility/2006">
      <mc:Choice Requires="x14">
        <control shapeId="14370" r:id="rId10" name="Label6">
          <controlPr autoLine="0" r:id="rId11">
            <anchor moveWithCells="1">
              <from>
                <xdr:col>0</xdr:col>
                <xdr:colOff>1457325</xdr:colOff>
                <xdr:row>16</xdr:row>
                <xdr:rowOff>142875</xdr:rowOff>
              </from>
              <to>
                <xdr:col>3</xdr:col>
                <xdr:colOff>1000125</xdr:colOff>
                <xdr:row>18</xdr:row>
                <xdr:rowOff>9525</xdr:rowOff>
              </to>
            </anchor>
          </controlPr>
        </control>
      </mc:Choice>
      <mc:Fallback>
        <control shapeId="14370" r:id="rId10" name="Label6"/>
      </mc:Fallback>
    </mc:AlternateContent>
    <mc:AlternateContent xmlns:mc="http://schemas.openxmlformats.org/markup-compatibility/2006">
      <mc:Choice Requires="x14">
        <control shapeId="14369" r:id="rId12" name="Label5">
          <controlPr autoLine="0" r:id="rId13">
            <anchor moveWithCells="1">
              <from>
                <xdr:col>0</xdr:col>
                <xdr:colOff>1724025</xdr:colOff>
                <xdr:row>13</xdr:row>
                <xdr:rowOff>104775</xdr:rowOff>
              </from>
              <to>
                <xdr:col>3</xdr:col>
                <xdr:colOff>723900</xdr:colOff>
                <xdr:row>14</xdr:row>
                <xdr:rowOff>152400</xdr:rowOff>
              </to>
            </anchor>
          </controlPr>
        </control>
      </mc:Choice>
      <mc:Fallback>
        <control shapeId="14369" r:id="rId12" name="Label5"/>
      </mc:Fallback>
    </mc:AlternateContent>
    <mc:AlternateContent xmlns:mc="http://schemas.openxmlformats.org/markup-compatibility/2006">
      <mc:Choice Requires="x14">
        <control shapeId="14368" r:id="rId14" name="Label4">
          <controlPr autoLine="0" r:id="rId15">
            <anchor moveWithCells="1">
              <from>
                <xdr:col>0</xdr:col>
                <xdr:colOff>1724025</xdr:colOff>
                <xdr:row>12</xdr:row>
                <xdr:rowOff>66675</xdr:rowOff>
              </from>
              <to>
                <xdr:col>3</xdr:col>
                <xdr:colOff>723900</xdr:colOff>
                <xdr:row>12</xdr:row>
                <xdr:rowOff>276225</xdr:rowOff>
              </to>
            </anchor>
          </controlPr>
        </control>
      </mc:Choice>
      <mc:Fallback>
        <control shapeId="14368" r:id="rId14" name="Label4"/>
      </mc:Fallback>
    </mc:AlternateContent>
    <mc:AlternateContent xmlns:mc="http://schemas.openxmlformats.org/markup-compatibility/2006">
      <mc:Choice Requires="x14">
        <control shapeId="14367" r:id="rId16" name="TextBox15">
          <controlPr autoLine="0" linkedCell="D53" r:id="rId17">
            <anchor moveWithCells="1">
              <from>
                <xdr:col>1</xdr:col>
                <xdr:colOff>1257300</xdr:colOff>
                <xdr:row>26</xdr:row>
                <xdr:rowOff>142875</xdr:rowOff>
              </from>
              <to>
                <xdr:col>4</xdr:col>
                <xdr:colOff>457200</xdr:colOff>
                <xdr:row>28</xdr:row>
                <xdr:rowOff>0</xdr:rowOff>
              </to>
            </anchor>
          </controlPr>
        </control>
      </mc:Choice>
      <mc:Fallback>
        <control shapeId="14367" r:id="rId16" name="TextBox15"/>
      </mc:Fallback>
    </mc:AlternateContent>
    <mc:AlternateContent xmlns:mc="http://schemas.openxmlformats.org/markup-compatibility/2006">
      <mc:Choice Requires="x14">
        <control shapeId="14366" r:id="rId18" name="TextBox14">
          <controlPr autoLine="0" linkedCell="C53" r:id="rId19">
            <anchor moveWithCells="1">
              <from>
                <xdr:col>1</xdr:col>
                <xdr:colOff>1257300</xdr:colOff>
                <xdr:row>24</xdr:row>
                <xdr:rowOff>57150</xdr:rowOff>
              </from>
              <to>
                <xdr:col>7</xdr:col>
                <xdr:colOff>66675</xdr:colOff>
                <xdr:row>25</xdr:row>
                <xdr:rowOff>171450</xdr:rowOff>
              </to>
            </anchor>
          </controlPr>
        </control>
      </mc:Choice>
      <mc:Fallback>
        <control shapeId="14366" r:id="rId18" name="TextBox14"/>
      </mc:Fallback>
    </mc:AlternateContent>
    <mc:AlternateContent xmlns:mc="http://schemas.openxmlformats.org/markup-compatibility/2006">
      <mc:Choice Requires="x14">
        <control shapeId="14365" r:id="rId20" name="Label3">
          <controlPr autoLine="0" r:id="rId21">
            <anchor moveWithCells="1">
              <from>
                <xdr:col>1</xdr:col>
                <xdr:colOff>314325</xdr:colOff>
                <xdr:row>26</xdr:row>
                <xdr:rowOff>180975</xdr:rowOff>
              </from>
              <to>
                <xdr:col>1</xdr:col>
                <xdr:colOff>1209675</xdr:colOff>
                <xdr:row>27</xdr:row>
                <xdr:rowOff>152400</xdr:rowOff>
              </to>
            </anchor>
          </controlPr>
        </control>
      </mc:Choice>
      <mc:Fallback>
        <control shapeId="14365" r:id="rId20" name="Label3"/>
      </mc:Fallback>
    </mc:AlternateContent>
    <mc:AlternateContent xmlns:mc="http://schemas.openxmlformats.org/markup-compatibility/2006">
      <mc:Choice Requires="x14">
        <control shapeId="14364" r:id="rId22" name="Label2">
          <controlPr autoLine="0" r:id="rId23">
            <anchor moveWithCells="1">
              <from>
                <xdr:col>0</xdr:col>
                <xdr:colOff>1190625</xdr:colOff>
                <xdr:row>24</xdr:row>
                <xdr:rowOff>133350</xdr:rowOff>
              </from>
              <to>
                <xdr:col>1</xdr:col>
                <xdr:colOff>1209675</xdr:colOff>
                <xdr:row>25</xdr:row>
                <xdr:rowOff>133350</xdr:rowOff>
              </to>
            </anchor>
          </controlPr>
        </control>
      </mc:Choice>
      <mc:Fallback>
        <control shapeId="14364" r:id="rId22" name="Label2"/>
      </mc:Fallback>
    </mc:AlternateContent>
    <mc:AlternateContent xmlns:mc="http://schemas.openxmlformats.org/markup-compatibility/2006">
      <mc:Choice Requires="x14">
        <control shapeId="14363" r:id="rId24" name="Label1">
          <controlPr autoLine="0" r:id="rId25">
            <anchor moveWithCells="1">
              <from>
                <xdr:col>0</xdr:col>
                <xdr:colOff>1457325</xdr:colOff>
                <xdr:row>22</xdr:row>
                <xdr:rowOff>95250</xdr:rowOff>
              </from>
              <to>
                <xdr:col>1</xdr:col>
                <xdr:colOff>1209675</xdr:colOff>
                <xdr:row>23</xdr:row>
                <xdr:rowOff>104775</xdr:rowOff>
              </to>
            </anchor>
          </controlPr>
        </control>
      </mc:Choice>
      <mc:Fallback>
        <control shapeId="14363" r:id="rId24" name="Label1"/>
      </mc:Fallback>
    </mc:AlternateContent>
    <mc:AlternateContent xmlns:mc="http://schemas.openxmlformats.org/markup-compatibility/2006">
      <mc:Choice Requires="x14">
        <control shapeId="14361" r:id="rId26" name="TextBox13">
          <controlPr autoLine="0" linkedCell="B53" r:id="rId27">
            <anchor moveWithCells="1">
              <from>
                <xdr:col>1</xdr:col>
                <xdr:colOff>1257300</xdr:colOff>
                <xdr:row>22</xdr:row>
                <xdr:rowOff>47625</xdr:rowOff>
              </from>
              <to>
                <xdr:col>3</xdr:col>
                <xdr:colOff>1104900</xdr:colOff>
                <xdr:row>23</xdr:row>
                <xdr:rowOff>95250</xdr:rowOff>
              </to>
            </anchor>
          </controlPr>
        </control>
      </mc:Choice>
      <mc:Fallback>
        <control shapeId="14361" r:id="rId26" name="TextBox13"/>
      </mc:Fallback>
    </mc:AlternateContent>
    <mc:AlternateContent xmlns:mc="http://schemas.openxmlformats.org/markup-compatibility/2006">
      <mc:Choice Requires="x14">
        <control shapeId="14354" r:id="rId28" name="TextBox12">
          <controlPr autoLine="0" linkedCell="D51" r:id="rId29">
            <anchor moveWithCells="1">
              <from>
                <xdr:col>3</xdr:col>
                <xdr:colOff>1019175</xdr:colOff>
                <xdr:row>12</xdr:row>
                <xdr:rowOff>57150</xdr:rowOff>
              </from>
              <to>
                <xdr:col>4</xdr:col>
                <xdr:colOff>1209675</xdr:colOff>
                <xdr:row>19</xdr:row>
                <xdr:rowOff>123825</xdr:rowOff>
              </to>
            </anchor>
          </controlPr>
        </control>
      </mc:Choice>
      <mc:Fallback>
        <control shapeId="14354" r:id="rId28" name="TextBox12"/>
      </mc:Fallback>
    </mc:AlternateContent>
    <mc:AlternateContent xmlns:mc="http://schemas.openxmlformats.org/markup-compatibility/2006">
      <mc:Choice Requires="x14">
        <control shapeId="14353" r:id="rId30" name="TextBox11">
          <controlPr autoLine="0" linkedCell="E51" r:id="rId31">
            <anchor moveWithCells="1">
              <from>
                <xdr:col>1</xdr:col>
                <xdr:colOff>733425</xdr:colOff>
                <xdr:row>17</xdr:row>
                <xdr:rowOff>161925</xdr:rowOff>
              </from>
              <to>
                <xdr:col>2</xdr:col>
                <xdr:colOff>295275</xdr:colOff>
                <xdr:row>19</xdr:row>
                <xdr:rowOff>47625</xdr:rowOff>
              </to>
            </anchor>
          </controlPr>
        </control>
      </mc:Choice>
      <mc:Fallback>
        <control shapeId="14353" r:id="rId30" name="TextBox11"/>
      </mc:Fallback>
    </mc:AlternateContent>
    <mc:AlternateContent xmlns:mc="http://schemas.openxmlformats.org/markup-compatibility/2006">
      <mc:Choice Requires="x14">
        <control shapeId="14352" r:id="rId32" name="TextBox10">
          <controlPr autoLine="0" linkedCell="C51" r:id="rId33">
            <anchor moveWithCells="1">
              <from>
                <xdr:col>1</xdr:col>
                <xdr:colOff>581025</xdr:colOff>
                <xdr:row>14</xdr:row>
                <xdr:rowOff>142875</xdr:rowOff>
              </from>
              <to>
                <xdr:col>3</xdr:col>
                <xdr:colOff>95250</xdr:colOff>
                <xdr:row>16</xdr:row>
                <xdr:rowOff>38100</xdr:rowOff>
              </to>
            </anchor>
          </controlPr>
        </control>
      </mc:Choice>
      <mc:Fallback>
        <control shapeId="14352" r:id="rId32" name="TextBox10"/>
      </mc:Fallback>
    </mc:AlternateContent>
    <mc:AlternateContent xmlns:mc="http://schemas.openxmlformats.org/markup-compatibility/2006">
      <mc:Choice Requires="x14">
        <control shapeId="14351" r:id="rId34" name="TextBox9">
          <controlPr autoLine="0" linkedCell="B51" r:id="rId35">
            <anchor moveWithCells="1">
              <from>
                <xdr:col>1</xdr:col>
                <xdr:colOff>723900</xdr:colOff>
                <xdr:row>12</xdr:row>
                <xdr:rowOff>257175</xdr:rowOff>
              </from>
              <to>
                <xdr:col>2</xdr:col>
                <xdr:colOff>285750</xdr:colOff>
                <xdr:row>12</xdr:row>
                <xdr:rowOff>485775</xdr:rowOff>
              </to>
            </anchor>
          </controlPr>
        </control>
      </mc:Choice>
      <mc:Fallback>
        <control shapeId="14351" r:id="rId34" name="TextBox9"/>
      </mc:Fallback>
    </mc:AlternateContent>
    <mc:AlternateContent xmlns:mc="http://schemas.openxmlformats.org/markup-compatibility/2006">
      <mc:Choice Requires="x14">
        <control shapeId="14346" r:id="rId36" name="TextBox8">
          <controlPr autoLine="0" linkedCell="B49" r:id="rId37">
            <anchor moveWithCells="1">
              <from>
                <xdr:col>4</xdr:col>
                <xdr:colOff>333375</xdr:colOff>
                <xdr:row>9</xdr:row>
                <xdr:rowOff>66675</xdr:rowOff>
              </from>
              <to>
                <xdr:col>4</xdr:col>
                <xdr:colOff>1190625</xdr:colOff>
                <xdr:row>9</xdr:row>
                <xdr:rowOff>295275</xdr:rowOff>
              </to>
            </anchor>
          </controlPr>
        </control>
      </mc:Choice>
      <mc:Fallback>
        <control shapeId="14346" r:id="rId36" name="TextBox8"/>
      </mc:Fallback>
    </mc:AlternateContent>
    <mc:AlternateContent xmlns:mc="http://schemas.openxmlformats.org/markup-compatibility/2006">
      <mc:Choice Requires="x14">
        <control shapeId="14345" r:id="rId38" name="TextBox7">
          <controlPr locked="0" autoLine="0" linkedCell="A49" r:id="rId39">
            <anchor moveWithCells="1">
              <from>
                <xdr:col>4</xdr:col>
                <xdr:colOff>333375</xdr:colOff>
                <xdr:row>7</xdr:row>
                <xdr:rowOff>104775</xdr:rowOff>
              </from>
              <to>
                <xdr:col>4</xdr:col>
                <xdr:colOff>1181100</xdr:colOff>
                <xdr:row>7</xdr:row>
                <xdr:rowOff>333375</xdr:rowOff>
              </to>
            </anchor>
          </controlPr>
        </control>
      </mc:Choice>
      <mc:Fallback>
        <control shapeId="14345" r:id="rId38" name="TextBox7"/>
      </mc:Fallback>
    </mc:AlternateContent>
    <mc:AlternateContent xmlns:mc="http://schemas.openxmlformats.org/markup-compatibility/2006">
      <mc:Choice Requires="x14">
        <control shapeId="14344" r:id="rId40" name="TextBox6">
          <controlPr locked="0" autoLine="0" linkedCell="B48" r:id="rId41">
            <anchor moveWithCells="1">
              <from>
                <xdr:col>4</xdr:col>
                <xdr:colOff>333375</xdr:colOff>
                <xdr:row>5</xdr:row>
                <xdr:rowOff>209550</xdr:rowOff>
              </from>
              <to>
                <xdr:col>4</xdr:col>
                <xdr:colOff>1181100</xdr:colOff>
                <xdr:row>5</xdr:row>
                <xdr:rowOff>438150</xdr:rowOff>
              </to>
            </anchor>
          </controlPr>
        </control>
      </mc:Choice>
      <mc:Fallback>
        <control shapeId="14344" r:id="rId40" name="TextBox6"/>
      </mc:Fallback>
    </mc:AlternateContent>
    <mc:AlternateContent xmlns:mc="http://schemas.openxmlformats.org/markup-compatibility/2006">
      <mc:Choice Requires="x14">
        <control shapeId="14343" r:id="rId42" name="TextBox5">
          <controlPr locked="0" autoLine="0" linkedCell="A48" r:id="rId43">
            <anchor moveWithCells="1">
              <from>
                <xdr:col>4</xdr:col>
                <xdr:colOff>333375</xdr:colOff>
                <xdr:row>3</xdr:row>
                <xdr:rowOff>47625</xdr:rowOff>
              </from>
              <to>
                <xdr:col>4</xdr:col>
                <xdr:colOff>1181100</xdr:colOff>
                <xdr:row>3</xdr:row>
                <xdr:rowOff>276225</xdr:rowOff>
              </to>
            </anchor>
          </controlPr>
        </control>
      </mc:Choice>
      <mc:Fallback>
        <control shapeId="14343" r:id="rId42" name="TextBox5"/>
      </mc:Fallback>
    </mc:AlternateContent>
    <mc:AlternateContent xmlns:mc="http://schemas.openxmlformats.org/markup-compatibility/2006">
      <mc:Choice Requires="x14">
        <control shapeId="14342" r:id="rId44" name="TextBox4">
          <controlPr locked="0" autoLine="0" linkedCell="A47" r:id="rId45">
            <anchor moveWithCells="1">
              <from>
                <xdr:col>1</xdr:col>
                <xdr:colOff>342900</xdr:colOff>
                <xdr:row>7</xdr:row>
                <xdr:rowOff>123825</xdr:rowOff>
              </from>
              <to>
                <xdr:col>1</xdr:col>
                <xdr:colOff>1190625</xdr:colOff>
                <xdr:row>7</xdr:row>
                <xdr:rowOff>352425</xdr:rowOff>
              </to>
            </anchor>
          </controlPr>
        </control>
      </mc:Choice>
      <mc:Fallback>
        <control shapeId="14342" r:id="rId44" name="TextBox4"/>
      </mc:Fallback>
    </mc:AlternateContent>
    <mc:AlternateContent xmlns:mc="http://schemas.openxmlformats.org/markup-compatibility/2006">
      <mc:Choice Requires="x14">
        <control shapeId="14341" r:id="rId46" name="TextBox3">
          <controlPr autoLine="0" linkedCell="B47" r:id="rId47">
            <anchor moveWithCells="1">
              <from>
                <xdr:col>1</xdr:col>
                <xdr:colOff>333375</xdr:colOff>
                <xdr:row>9</xdr:row>
                <xdr:rowOff>57150</xdr:rowOff>
              </from>
              <to>
                <xdr:col>1</xdr:col>
                <xdr:colOff>1181100</xdr:colOff>
                <xdr:row>9</xdr:row>
                <xdr:rowOff>285750</xdr:rowOff>
              </to>
            </anchor>
          </controlPr>
        </control>
      </mc:Choice>
      <mc:Fallback>
        <control shapeId="14341" r:id="rId46" name="TextBox3"/>
      </mc:Fallback>
    </mc:AlternateContent>
    <mc:AlternateContent xmlns:mc="http://schemas.openxmlformats.org/markup-compatibility/2006">
      <mc:Choice Requires="x14">
        <control shapeId="14340" r:id="rId48" name="TextBox2">
          <controlPr locked="0" autoLine="0" linkedCell="B46" r:id="rId49">
            <anchor moveWithCells="1">
              <from>
                <xdr:col>1</xdr:col>
                <xdr:colOff>342900</xdr:colOff>
                <xdr:row>5</xdr:row>
                <xdr:rowOff>200025</xdr:rowOff>
              </from>
              <to>
                <xdr:col>1</xdr:col>
                <xdr:colOff>1190625</xdr:colOff>
                <xdr:row>5</xdr:row>
                <xdr:rowOff>428625</xdr:rowOff>
              </to>
            </anchor>
          </controlPr>
        </control>
      </mc:Choice>
      <mc:Fallback>
        <control shapeId="14340" r:id="rId48" name="TextBox2"/>
      </mc:Fallback>
    </mc:AlternateContent>
    <mc:AlternateContent xmlns:mc="http://schemas.openxmlformats.org/markup-compatibility/2006">
      <mc:Choice Requires="x14">
        <control shapeId="14339" r:id="rId50" name="TextBox1">
          <controlPr locked="0" autoLine="0" linkedCell="A46" r:id="rId51">
            <anchor moveWithCells="1">
              <from>
                <xdr:col>1</xdr:col>
                <xdr:colOff>342900</xdr:colOff>
                <xdr:row>3</xdr:row>
                <xdr:rowOff>66675</xdr:rowOff>
              </from>
              <to>
                <xdr:col>1</xdr:col>
                <xdr:colOff>1190625</xdr:colOff>
                <xdr:row>3</xdr:row>
                <xdr:rowOff>295275</xdr:rowOff>
              </to>
            </anchor>
          </controlPr>
        </control>
      </mc:Choice>
      <mc:Fallback>
        <control shapeId="14339" r:id="rId50" name="TextBox1"/>
      </mc:Fallback>
    </mc:AlternateContent>
    <mc:AlternateContent xmlns:mc="http://schemas.openxmlformats.org/markup-compatibility/2006">
      <mc:Choice Requires="x14">
        <control shapeId="14350" r:id="rId52" name="List Box 14">
          <controlPr locked="0" defaultSize="0" autoLine="0" autoPict="0" macro="[0]!MacroGA1">
            <anchor moveWithCells="1">
              <from>
                <xdr:col>0</xdr:col>
                <xdr:colOff>123825</xdr:colOff>
                <xdr:row>12</xdr:row>
                <xdr:rowOff>142875</xdr:rowOff>
              </from>
              <to>
                <xdr:col>0</xdr:col>
                <xdr:colOff>1409700</xdr:colOff>
                <xdr:row>16</xdr:row>
                <xdr:rowOff>47625</xdr:rowOff>
              </to>
            </anchor>
          </controlPr>
        </control>
      </mc:Choice>
    </mc:AlternateContent>
    <mc:AlternateContent xmlns:mc="http://schemas.openxmlformats.org/markup-compatibility/2006">
      <mc:Choice Requires="x14">
        <control shapeId="14360" r:id="rId53" name="List Box 24">
          <controlPr locked="0" defaultSize="0" autoLine="0" autoPict="0" macro="[0]!MacroGA1">
            <anchor moveWithCells="1">
              <from>
                <xdr:col>0</xdr:col>
                <xdr:colOff>57150</xdr:colOff>
                <xdr:row>22</xdr:row>
                <xdr:rowOff>66675</xdr:rowOff>
              </from>
              <to>
                <xdr:col>0</xdr:col>
                <xdr:colOff>1038225</xdr:colOff>
                <xdr:row>27</xdr:row>
                <xdr:rowOff>142875</xdr:rowOff>
              </to>
            </anchor>
          </controlPr>
        </control>
      </mc:Choice>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M263"/>
  <sheetViews>
    <sheetView topLeftCell="A13" workbookViewId="0">
      <selection activeCell="B26" sqref="B26"/>
    </sheetView>
  </sheetViews>
  <sheetFormatPr defaultRowHeight="12.75" x14ac:dyDescent="0.2"/>
  <cols>
    <col min="1" max="1" width="44.140625" customWidth="1"/>
    <col min="2" max="2" width="10.5703125" customWidth="1"/>
    <col min="3" max="3" width="2.140625" customWidth="1"/>
    <col min="4" max="4" width="26.140625" bestFit="1" customWidth="1"/>
    <col min="6" max="6" width="28.28515625" customWidth="1"/>
  </cols>
  <sheetData>
    <row r="1" spans="1:13" ht="15.75" thickBot="1" x14ac:dyDescent="0.25">
      <c r="A1" s="411" t="s">
        <v>485</v>
      </c>
      <c r="B1" s="412"/>
      <c r="C1" s="412"/>
      <c r="D1" s="412"/>
      <c r="E1" s="412"/>
      <c r="F1" s="413"/>
      <c r="G1" s="413"/>
      <c r="H1" s="414"/>
      <c r="I1" s="257"/>
      <c r="J1" s="257"/>
      <c r="K1" s="257"/>
      <c r="L1" s="257"/>
      <c r="M1" s="257"/>
    </row>
    <row r="2" spans="1:13" x14ac:dyDescent="0.2">
      <c r="A2" s="257"/>
      <c r="B2" s="257"/>
      <c r="C2" s="257"/>
      <c r="D2" s="257"/>
      <c r="E2" s="233" t="b">
        <v>0</v>
      </c>
      <c r="F2" s="257"/>
      <c r="G2" s="257"/>
      <c r="H2" s="257"/>
      <c r="I2" s="257"/>
      <c r="J2" s="257"/>
      <c r="K2" s="257"/>
      <c r="L2" s="257"/>
      <c r="M2" s="257"/>
    </row>
    <row r="3" spans="1:13" x14ac:dyDescent="0.2">
      <c r="A3" s="257"/>
      <c r="B3" s="257"/>
      <c r="C3" s="257"/>
      <c r="D3" s="257"/>
      <c r="E3" s="233" t="b">
        <v>0</v>
      </c>
      <c r="F3" s="257"/>
      <c r="G3" s="257"/>
      <c r="H3" s="257"/>
      <c r="I3" s="257"/>
      <c r="J3" s="257"/>
      <c r="K3" s="257"/>
      <c r="L3" s="257"/>
      <c r="M3" s="257"/>
    </row>
    <row r="4" spans="1:13" x14ac:dyDescent="0.2">
      <c r="A4" s="257"/>
      <c r="B4" s="257"/>
      <c r="C4" s="257"/>
      <c r="D4" s="292" t="str">
        <f>IF(E2,"Enter Temperature and Pressure Information",IF(E3,"Enter Temperature and Pressure Information",""))</f>
        <v/>
      </c>
      <c r="E4" s="291"/>
      <c r="F4" s="291"/>
      <c r="G4" s="257"/>
      <c r="H4" s="257"/>
      <c r="I4" s="257"/>
      <c r="J4" s="257"/>
      <c r="K4" s="257"/>
      <c r="L4" s="257"/>
      <c r="M4" s="257"/>
    </row>
    <row r="5" spans="1:13" x14ac:dyDescent="0.2">
      <c r="A5" s="257"/>
      <c r="B5" s="257"/>
      <c r="C5" s="257"/>
      <c r="D5" s="257"/>
      <c r="E5" s="257"/>
      <c r="F5" s="257"/>
      <c r="G5" s="257"/>
      <c r="H5" s="257"/>
      <c r="I5" s="257"/>
      <c r="J5" s="257"/>
      <c r="K5" s="257"/>
      <c r="L5" s="257"/>
      <c r="M5" s="257"/>
    </row>
    <row r="6" spans="1:13" x14ac:dyDescent="0.2">
      <c r="A6" s="257"/>
      <c r="B6" s="257"/>
      <c r="C6" s="257"/>
      <c r="D6" s="292" t="str">
        <f>IF(E2,"Calibration Temperature (F):",IF(E3,"Calibration Temperature (F):",""))</f>
        <v/>
      </c>
      <c r="E6" s="276"/>
      <c r="F6" s="292" t="str">
        <f>IF(E2,"Calibration Pressure (mm Hg):",IF(E3,"Calibration Pressure (mm Hg):",""))</f>
        <v/>
      </c>
      <c r="G6" s="276"/>
      <c r="H6" s="257"/>
      <c r="I6" s="257"/>
      <c r="J6" s="257"/>
      <c r="K6" s="257"/>
      <c r="L6" s="257"/>
      <c r="M6" s="257"/>
    </row>
    <row r="7" spans="1:13" x14ac:dyDescent="0.2">
      <c r="A7" s="257"/>
      <c r="B7" s="257"/>
      <c r="C7" s="257"/>
      <c r="D7" s="257"/>
      <c r="E7" s="257"/>
      <c r="F7" s="257"/>
      <c r="G7" s="257"/>
      <c r="H7" s="257"/>
      <c r="I7" s="257"/>
      <c r="J7" s="257"/>
      <c r="K7" s="257"/>
      <c r="L7" s="257"/>
      <c r="M7" s="257"/>
    </row>
    <row r="8" spans="1:13" x14ac:dyDescent="0.2">
      <c r="A8" s="257"/>
      <c r="B8" s="257"/>
      <c r="C8" s="257"/>
      <c r="D8" s="292" t="str">
        <f>IF(E2,"Site Use Temperature (F):",IF(E3,"Site Use Temperature (F):",""))</f>
        <v/>
      </c>
      <c r="E8" s="276"/>
      <c r="F8" s="292" t="str">
        <f>IF(E2,"Site Use Pressure (mm Hg):",IF(E3,"Site Use Pressure (mm Hg):",""))</f>
        <v/>
      </c>
      <c r="G8" s="276"/>
      <c r="H8" s="257"/>
      <c r="I8" s="257"/>
      <c r="J8" s="257"/>
      <c r="K8" s="257"/>
      <c r="L8" s="257"/>
      <c r="M8" s="257"/>
    </row>
    <row r="9" spans="1:13" ht="13.5" thickBot="1" x14ac:dyDescent="0.25">
      <c r="A9" s="257"/>
      <c r="B9" s="257"/>
      <c r="C9" s="257"/>
      <c r="D9" s="257"/>
      <c r="E9" s="257"/>
      <c r="F9" s="257"/>
      <c r="G9" s="257"/>
      <c r="H9" s="257"/>
      <c r="I9" s="257"/>
      <c r="J9" s="257"/>
      <c r="K9" s="257"/>
      <c r="L9" s="257"/>
      <c r="M9" s="257"/>
    </row>
    <row r="10" spans="1:13" x14ac:dyDescent="0.2">
      <c r="A10" s="294" t="s">
        <v>383</v>
      </c>
      <c r="B10" s="285"/>
      <c r="C10" s="285"/>
      <c r="D10" s="285"/>
      <c r="E10" s="285"/>
      <c r="F10" s="286"/>
      <c r="G10" s="257"/>
      <c r="H10" s="257"/>
      <c r="I10" s="257"/>
      <c r="J10" s="257"/>
      <c r="K10" s="257"/>
      <c r="L10" s="257"/>
      <c r="M10" s="257"/>
    </row>
    <row r="11" spans="1:13" ht="4.5" customHeight="1" thickBot="1" x14ac:dyDescent="0.25">
      <c r="A11" s="37"/>
      <c r="B11" s="40"/>
      <c r="C11" s="40"/>
      <c r="D11" s="40"/>
      <c r="E11" s="40"/>
      <c r="F11" s="287"/>
      <c r="G11" s="257"/>
      <c r="H11" s="257"/>
      <c r="I11" s="257"/>
      <c r="J11" s="257"/>
      <c r="K11" s="257"/>
      <c r="L11" s="257"/>
      <c r="M11" s="257"/>
    </row>
    <row r="12" spans="1:13" ht="13.5" thickBot="1" x14ac:dyDescent="0.25">
      <c r="A12" s="37" t="s">
        <v>374</v>
      </c>
      <c r="B12" s="228">
        <v>123</v>
      </c>
      <c r="C12" s="40"/>
      <c r="D12" s="40" t="s">
        <v>377</v>
      </c>
      <c r="E12" s="228">
        <v>123</v>
      </c>
      <c r="F12" s="287"/>
      <c r="G12" s="257"/>
      <c r="H12" s="257"/>
      <c r="I12" s="257"/>
      <c r="J12" s="257"/>
      <c r="K12" s="257"/>
      <c r="L12" s="257"/>
      <c r="M12" s="257"/>
    </row>
    <row r="13" spans="1:13" ht="4.5" customHeight="1" thickBot="1" x14ac:dyDescent="0.25">
      <c r="A13" s="37"/>
      <c r="B13" s="40"/>
      <c r="C13" s="40"/>
      <c r="D13" s="40"/>
      <c r="E13" s="40"/>
      <c r="F13" s="287"/>
      <c r="G13" s="257"/>
      <c r="H13" s="257"/>
      <c r="I13" s="257"/>
      <c r="J13" s="257"/>
      <c r="K13" s="257"/>
      <c r="L13" s="257"/>
      <c r="M13" s="257"/>
    </row>
    <row r="14" spans="1:13" ht="15" thickBot="1" x14ac:dyDescent="0.25">
      <c r="A14" s="37" t="s">
        <v>387</v>
      </c>
      <c r="B14" s="228">
        <v>1000</v>
      </c>
      <c r="C14" s="40"/>
      <c r="D14" s="40" t="s">
        <v>376</v>
      </c>
      <c r="E14" s="211">
        <f>IF(ISBLANK(B14),"",B14/B12)</f>
        <v>8.1300813008130088</v>
      </c>
      <c r="F14" s="287"/>
      <c r="G14" s="257"/>
      <c r="H14" s="257"/>
      <c r="I14" s="257"/>
      <c r="J14" s="257"/>
      <c r="K14" s="257"/>
      <c r="L14" s="257"/>
      <c r="M14" s="257"/>
    </row>
    <row r="15" spans="1:13" ht="4.5" customHeight="1" thickBot="1" x14ac:dyDescent="0.25">
      <c r="A15" s="37"/>
      <c r="B15" s="40"/>
      <c r="C15" s="40"/>
      <c r="D15" s="40"/>
      <c r="E15" s="40"/>
      <c r="F15" s="287"/>
      <c r="G15" s="257"/>
      <c r="H15" s="257"/>
      <c r="I15" s="257"/>
      <c r="J15" s="257"/>
      <c r="K15" s="257"/>
      <c r="L15" s="257"/>
      <c r="M15" s="257"/>
    </row>
    <row r="16" spans="1:13" ht="13.5" thickBot="1" x14ac:dyDescent="0.25">
      <c r="A16" s="37"/>
      <c r="B16" s="40"/>
      <c r="C16" s="40"/>
      <c r="D16" s="40" t="s">
        <v>378</v>
      </c>
      <c r="E16" s="228">
        <v>8</v>
      </c>
      <c r="F16" s="287"/>
      <c r="G16" s="257"/>
      <c r="H16" s="257"/>
      <c r="I16" s="257"/>
      <c r="J16" s="257"/>
      <c r="K16" s="257"/>
      <c r="L16" s="257"/>
      <c r="M16" s="257"/>
    </row>
    <row r="17" spans="1:13" ht="25.5" customHeight="1" thickBot="1" x14ac:dyDescent="0.25">
      <c r="A17" s="288" t="s">
        <v>385</v>
      </c>
      <c r="B17" s="228">
        <v>1325</v>
      </c>
      <c r="C17" s="40"/>
      <c r="D17" s="289" t="s">
        <v>384</v>
      </c>
      <c r="E17" s="290">
        <f>IF(ISBLANK(E16),"",IF(E2,E16*((B12+E12)/2)*SQRT((G6*(E8+459.67))/(G8*(E6+459.67))),IF(E3,E16*((B12+E12)/2)*SQRT((G6*(E8+459.67))/(G8*(E6+459.67))),E16*(B12+E12)/2)))</f>
        <v>984</v>
      </c>
      <c r="F17" s="287"/>
      <c r="G17" s="257"/>
      <c r="H17" s="257"/>
      <c r="I17" s="257"/>
      <c r="J17" s="257"/>
      <c r="K17" s="257"/>
      <c r="L17" s="257"/>
      <c r="M17" s="257"/>
    </row>
    <row r="18" spans="1:13" ht="4.5" customHeight="1" thickBot="1" x14ac:dyDescent="0.25">
      <c r="A18" s="37"/>
      <c r="B18" s="40"/>
      <c r="C18" s="40"/>
      <c r="D18" s="40"/>
      <c r="E18" s="40"/>
      <c r="F18" s="287"/>
      <c r="G18" s="257"/>
      <c r="H18" s="257"/>
      <c r="I18" s="257"/>
      <c r="J18" s="257"/>
      <c r="K18" s="257"/>
      <c r="L18" s="257"/>
      <c r="M18" s="257"/>
    </row>
    <row r="19" spans="1:13" ht="15" thickBot="1" x14ac:dyDescent="0.25">
      <c r="A19" s="37" t="s">
        <v>382</v>
      </c>
      <c r="B19" s="211">
        <f>IF(ISBLANK(B17),"",500*B17/E17)</f>
        <v>673.27235772357722</v>
      </c>
      <c r="C19" s="40"/>
      <c r="D19" s="40"/>
      <c r="E19" s="40"/>
      <c r="F19" s="287"/>
      <c r="G19" s="257"/>
      <c r="H19" s="257"/>
      <c r="I19" s="257"/>
      <c r="J19" s="257"/>
      <c r="K19" s="257"/>
      <c r="L19" s="257"/>
      <c r="M19" s="257"/>
    </row>
    <row r="20" spans="1:13" x14ac:dyDescent="0.2">
      <c r="A20" s="37"/>
      <c r="B20" s="40"/>
      <c r="C20" s="40"/>
      <c r="D20" s="40"/>
      <c r="E20" s="40"/>
      <c r="F20" s="287"/>
      <c r="G20" s="257"/>
      <c r="H20" s="257"/>
      <c r="I20" s="257"/>
      <c r="J20" s="257"/>
      <c r="K20" s="257"/>
      <c r="L20" s="257"/>
      <c r="M20" s="257"/>
    </row>
    <row r="21" spans="1:13" x14ac:dyDescent="0.2">
      <c r="A21" s="415" t="s">
        <v>375</v>
      </c>
      <c r="B21" s="416"/>
      <c r="C21" s="416"/>
      <c r="D21" s="416"/>
      <c r="E21" s="40"/>
      <c r="F21" s="287"/>
      <c r="G21" s="257"/>
      <c r="H21" s="257"/>
      <c r="I21" s="257"/>
      <c r="J21" s="257"/>
      <c r="K21" s="257"/>
      <c r="L21" s="257"/>
      <c r="M21" s="257"/>
    </row>
    <row r="22" spans="1:13" ht="37.5" customHeight="1" thickBot="1" x14ac:dyDescent="0.25">
      <c r="A22" s="407" t="str">
        <f>IF(ISBLANK(B19),"",IF(B19&lt;100,F39,IF(B19&lt;10000,F40,F41)))</f>
        <v>Full-face respiratory protection required (M-series Protective Mask or NIOSH/MSHA approved HEPA respirator (only for isotopes with atomic number &gt;92)</v>
      </c>
      <c r="B22" s="408"/>
      <c r="C22" s="408"/>
      <c r="D22" s="408"/>
      <c r="E22" s="409"/>
      <c r="F22" s="410"/>
      <c r="G22" s="257"/>
      <c r="H22" s="257"/>
      <c r="I22" s="257"/>
      <c r="J22" s="257"/>
      <c r="K22" s="257"/>
      <c r="L22" s="257"/>
      <c r="M22" s="257"/>
    </row>
    <row r="23" spans="1:13" ht="13.5" thickBot="1" x14ac:dyDescent="0.25">
      <c r="A23" s="278"/>
      <c r="B23" s="279"/>
      <c r="C23" s="279"/>
      <c r="D23" s="279"/>
      <c r="E23" s="279"/>
      <c r="F23" s="279"/>
      <c r="G23" s="258"/>
      <c r="H23" s="257"/>
      <c r="I23" s="257"/>
      <c r="J23" s="257"/>
      <c r="K23" s="257"/>
      <c r="L23" s="257"/>
      <c r="M23" s="257"/>
    </row>
    <row r="24" spans="1:13" x14ac:dyDescent="0.2">
      <c r="A24" s="294" t="s">
        <v>386</v>
      </c>
      <c r="B24" s="285"/>
      <c r="C24" s="285"/>
      <c r="D24" s="285"/>
      <c r="E24" s="285"/>
      <c r="F24" s="286"/>
      <c r="G24" s="257"/>
      <c r="H24" s="257"/>
      <c r="I24" s="257"/>
      <c r="J24" s="257"/>
      <c r="K24" s="257"/>
      <c r="L24" s="257"/>
      <c r="M24" s="257"/>
    </row>
    <row r="25" spans="1:13" ht="4.5" customHeight="1" thickBot="1" x14ac:dyDescent="0.25">
      <c r="A25" s="37"/>
      <c r="B25" s="40"/>
      <c r="C25" s="40"/>
      <c r="D25" s="40"/>
      <c r="E25" s="40"/>
      <c r="F25" s="287"/>
      <c r="G25" s="257"/>
      <c r="H25" s="257"/>
      <c r="I25" s="257"/>
      <c r="J25" s="257"/>
      <c r="K25" s="257"/>
      <c r="L25" s="257"/>
      <c r="M25" s="257"/>
    </row>
    <row r="26" spans="1:13" ht="13.5" thickBot="1" x14ac:dyDescent="0.25">
      <c r="A26" s="37" t="s">
        <v>374</v>
      </c>
      <c r="B26" s="228">
        <v>1000</v>
      </c>
      <c r="C26" s="40"/>
      <c r="D26" s="40" t="s">
        <v>377</v>
      </c>
      <c r="E26" s="228">
        <v>4566</v>
      </c>
      <c r="F26" s="287"/>
      <c r="G26" s="257"/>
      <c r="H26" s="257"/>
      <c r="I26" s="257"/>
      <c r="J26" s="257"/>
      <c r="K26" s="257"/>
      <c r="L26" s="257"/>
      <c r="M26" s="257"/>
    </row>
    <row r="27" spans="1:13" ht="4.5" customHeight="1" thickBot="1" x14ac:dyDescent="0.25">
      <c r="A27" s="37"/>
      <c r="B27" s="40"/>
      <c r="C27" s="40"/>
      <c r="D27" s="40"/>
      <c r="E27" s="40"/>
      <c r="F27" s="287"/>
      <c r="G27" s="257"/>
      <c r="H27" s="257"/>
      <c r="I27" s="257"/>
      <c r="J27" s="257"/>
      <c r="K27" s="257"/>
      <c r="L27" s="257"/>
      <c r="M27" s="257"/>
    </row>
    <row r="28" spans="1:13" ht="15" thickBot="1" x14ac:dyDescent="0.25">
      <c r="A28" s="37" t="s">
        <v>387</v>
      </c>
      <c r="B28" s="228">
        <v>100</v>
      </c>
      <c r="C28" s="40"/>
      <c r="D28" s="40" t="s">
        <v>376</v>
      </c>
      <c r="E28" s="211">
        <f>IF(ISBLANK(B28),"",B28/B26)</f>
        <v>0.1</v>
      </c>
      <c r="F28" s="287"/>
      <c r="G28" s="257"/>
      <c r="H28" s="257"/>
      <c r="I28" s="257"/>
      <c r="J28" s="257"/>
      <c r="K28" s="257"/>
      <c r="L28" s="257"/>
      <c r="M28" s="257"/>
    </row>
    <row r="29" spans="1:13" ht="4.5" customHeight="1" thickBot="1" x14ac:dyDescent="0.25">
      <c r="A29" s="37"/>
      <c r="B29" s="40"/>
      <c r="C29" s="40"/>
      <c r="D29" s="40"/>
      <c r="E29" s="40"/>
      <c r="F29" s="287"/>
      <c r="G29" s="257"/>
      <c r="H29" s="257"/>
      <c r="I29" s="257"/>
      <c r="J29" s="257"/>
      <c r="K29" s="257"/>
      <c r="L29" s="257"/>
      <c r="M29" s="257"/>
    </row>
    <row r="30" spans="1:13" ht="13.5" thickBot="1" x14ac:dyDescent="0.25">
      <c r="A30" s="37"/>
      <c r="B30" s="40"/>
      <c r="C30" s="40"/>
      <c r="D30" s="40" t="s">
        <v>378</v>
      </c>
      <c r="E30" s="228">
        <v>1</v>
      </c>
      <c r="F30" s="287"/>
      <c r="G30" s="257"/>
      <c r="H30" s="257"/>
      <c r="I30" s="257"/>
      <c r="J30" s="257"/>
      <c r="K30" s="257"/>
      <c r="L30" s="257"/>
      <c r="M30" s="257"/>
    </row>
    <row r="31" spans="1:13" ht="26.25" thickBot="1" x14ac:dyDescent="0.25">
      <c r="A31" s="288" t="s">
        <v>385</v>
      </c>
      <c r="B31" s="228">
        <v>45666</v>
      </c>
      <c r="C31" s="40"/>
      <c r="D31" s="289" t="s">
        <v>384</v>
      </c>
      <c r="E31" s="290">
        <f>IF(ISBLANK(E30),"",IF(E2,E30*((B26+E26)/2)*SQRT((G6*(E8+459.67))/(G8*(E6+459.67))),IF(E3,E30*((B26+E26)/2)*SQRT((G6*(E8+459.67))/(G8*(E6+459.67))),E30*(B26+E26)/2)))</f>
        <v>2783</v>
      </c>
      <c r="F31" s="287"/>
      <c r="G31" s="257"/>
      <c r="H31" s="257"/>
      <c r="I31" s="257"/>
      <c r="J31" s="257"/>
      <c r="K31" s="257"/>
      <c r="L31" s="257"/>
      <c r="M31" s="257"/>
    </row>
    <row r="32" spans="1:13" ht="4.5" customHeight="1" thickBot="1" x14ac:dyDescent="0.25">
      <c r="A32" s="37"/>
      <c r="B32" s="40"/>
      <c r="C32" s="40"/>
      <c r="D32" s="40"/>
      <c r="E32" s="40"/>
      <c r="F32" s="287"/>
      <c r="G32" s="257"/>
      <c r="H32" s="257"/>
      <c r="I32" s="257"/>
      <c r="J32" s="257"/>
      <c r="K32" s="257"/>
      <c r="L32" s="257"/>
      <c r="M32" s="257"/>
    </row>
    <row r="33" spans="1:13" ht="15" thickBot="1" x14ac:dyDescent="0.25">
      <c r="A33" s="37" t="s">
        <v>382</v>
      </c>
      <c r="B33" s="211">
        <f>IF(ISBLANK(B31),"",500*B31/E31-B19)</f>
        <v>7531.1832657043778</v>
      </c>
      <c r="C33" s="40"/>
      <c r="D33" s="40"/>
      <c r="E33" s="40"/>
      <c r="F33" s="287"/>
      <c r="G33" s="257"/>
      <c r="H33" s="257"/>
      <c r="I33" s="257"/>
      <c r="J33" s="257"/>
      <c r="K33" s="257"/>
      <c r="L33" s="257"/>
      <c r="M33" s="257"/>
    </row>
    <row r="34" spans="1:13" x14ac:dyDescent="0.2">
      <c r="A34" s="37"/>
      <c r="B34" s="40"/>
      <c r="C34" s="40"/>
      <c r="D34" s="40"/>
      <c r="E34" s="40"/>
      <c r="F34" s="287"/>
      <c r="G34" s="257"/>
      <c r="H34" s="257"/>
      <c r="I34" s="257"/>
      <c r="J34" s="257"/>
      <c r="K34" s="257"/>
      <c r="L34" s="257"/>
      <c r="M34" s="257"/>
    </row>
    <row r="35" spans="1:13" x14ac:dyDescent="0.2">
      <c r="A35" s="415" t="s">
        <v>375</v>
      </c>
      <c r="B35" s="416"/>
      <c r="C35" s="416"/>
      <c r="D35" s="416"/>
      <c r="E35" s="40"/>
      <c r="F35" s="287"/>
      <c r="G35" s="257"/>
      <c r="H35" s="257"/>
      <c r="I35" s="257"/>
      <c r="J35" s="257"/>
      <c r="K35" s="257"/>
      <c r="L35" s="257"/>
      <c r="M35" s="257"/>
    </row>
    <row r="36" spans="1:13" ht="35.25" customHeight="1" thickBot="1" x14ac:dyDescent="0.25">
      <c r="A36" s="407" t="str">
        <f>IF(B33&lt;100,F39,IF(B33&lt;10000,F40,F41))</f>
        <v>Full-face respiratory protection required (M-series Protective Mask or NIOSH/MSHA approved HEPA respirator (only for isotopes with atomic number &gt;92)</v>
      </c>
      <c r="B36" s="408"/>
      <c r="C36" s="408"/>
      <c r="D36" s="408"/>
      <c r="E36" s="409"/>
      <c r="F36" s="410"/>
      <c r="G36" s="257"/>
      <c r="H36" s="257"/>
      <c r="I36" s="257"/>
      <c r="J36" s="257"/>
      <c r="K36" s="257"/>
      <c r="L36" s="257"/>
      <c r="M36" s="257"/>
    </row>
    <row r="37" spans="1:13" x14ac:dyDescent="0.2">
      <c r="A37" s="257"/>
      <c r="B37" s="257"/>
      <c r="C37" s="257"/>
      <c r="D37" s="257"/>
      <c r="E37" s="257"/>
      <c r="F37" s="257"/>
      <c r="G37" s="257"/>
      <c r="H37" s="257"/>
      <c r="I37" s="257"/>
      <c r="J37" s="257"/>
      <c r="K37" s="257"/>
      <c r="L37" s="257"/>
      <c r="M37" s="257"/>
    </row>
    <row r="38" spans="1:13" x14ac:dyDescent="0.2">
      <c r="A38" s="257"/>
      <c r="B38" s="233"/>
      <c r="C38" s="233"/>
      <c r="D38" s="233"/>
      <c r="E38" s="233"/>
      <c r="F38" s="233"/>
      <c r="G38" s="233"/>
      <c r="H38" s="257"/>
      <c r="I38" s="257"/>
      <c r="J38" s="257"/>
      <c r="K38" s="257"/>
      <c r="L38" s="257"/>
      <c r="M38" s="257"/>
    </row>
    <row r="39" spans="1:13" x14ac:dyDescent="0.2">
      <c r="A39" s="257"/>
      <c r="B39" s="233"/>
      <c r="C39" s="233"/>
      <c r="D39" s="277"/>
      <c r="E39" s="277" t="s">
        <v>379</v>
      </c>
      <c r="F39" s="329" t="s">
        <v>556</v>
      </c>
      <c r="G39" s="277"/>
      <c r="H39" s="257"/>
      <c r="I39" s="257"/>
      <c r="J39" s="257"/>
      <c r="K39" s="257"/>
      <c r="L39" s="257"/>
      <c r="M39" s="257"/>
    </row>
    <row r="40" spans="1:13" x14ac:dyDescent="0.2">
      <c r="A40" s="257"/>
      <c r="B40" s="257"/>
      <c r="C40" s="233"/>
      <c r="D40" s="277"/>
      <c r="E40" s="277" t="s">
        <v>380</v>
      </c>
      <c r="F40" s="277" t="s">
        <v>557</v>
      </c>
      <c r="G40" s="277"/>
      <c r="H40" s="257"/>
      <c r="I40" s="257"/>
      <c r="J40" s="257"/>
      <c r="K40" s="257"/>
      <c r="L40" s="257"/>
      <c r="M40" s="257"/>
    </row>
    <row r="41" spans="1:13" x14ac:dyDescent="0.2">
      <c r="A41" s="257"/>
      <c r="B41" s="257"/>
      <c r="C41" s="233"/>
      <c r="D41" s="277"/>
      <c r="E41" s="277" t="s">
        <v>381</v>
      </c>
      <c r="F41" s="277" t="s">
        <v>558</v>
      </c>
      <c r="G41" s="277"/>
      <c r="H41" s="257"/>
      <c r="I41" s="257"/>
      <c r="J41" s="257"/>
      <c r="K41" s="257"/>
      <c r="L41" s="257"/>
      <c r="M41" s="257"/>
    </row>
    <row r="42" spans="1:13" x14ac:dyDescent="0.2">
      <c r="A42" s="257"/>
      <c r="B42" s="257"/>
      <c r="C42" s="257"/>
      <c r="D42" s="238"/>
      <c r="E42" s="238"/>
      <c r="F42" s="238"/>
      <c r="G42" s="238"/>
      <c r="H42" s="257"/>
      <c r="I42" s="257"/>
      <c r="J42" s="257"/>
      <c r="K42" s="257"/>
      <c r="L42" s="257"/>
      <c r="M42" s="257"/>
    </row>
    <row r="43" spans="1:13" x14ac:dyDescent="0.2">
      <c r="A43" s="257"/>
      <c r="B43" s="257"/>
      <c r="C43" s="257"/>
      <c r="D43" s="238"/>
      <c r="E43" s="238"/>
      <c r="F43" s="238"/>
      <c r="G43" s="238"/>
      <c r="H43" s="257"/>
      <c r="I43" s="257"/>
      <c r="J43" s="257"/>
      <c r="K43" s="257"/>
      <c r="L43" s="257"/>
      <c r="M43" s="257"/>
    </row>
    <row r="44" spans="1:13" x14ac:dyDescent="0.2">
      <c r="A44" s="257"/>
      <c r="B44" s="257"/>
      <c r="C44" s="257"/>
      <c r="D44" s="238"/>
      <c r="E44" s="244"/>
      <c r="F44" s="244"/>
      <c r="G44" s="238"/>
      <c r="H44" s="257"/>
      <c r="I44" s="257"/>
      <c r="J44" s="257"/>
      <c r="K44" s="257"/>
      <c r="L44" s="257"/>
      <c r="M44" s="257"/>
    </row>
    <row r="45" spans="1:13" x14ac:dyDescent="0.2">
      <c r="A45" s="257"/>
      <c r="B45" s="257"/>
      <c r="C45" s="257"/>
      <c r="D45" s="238"/>
      <c r="E45" s="238"/>
      <c r="F45" s="238"/>
      <c r="G45" s="238"/>
      <c r="H45" s="257"/>
      <c r="I45" s="257"/>
      <c r="J45" s="257"/>
      <c r="K45" s="257"/>
      <c r="L45" s="257"/>
      <c r="M45" s="257"/>
    </row>
    <row r="46" spans="1:13" x14ac:dyDescent="0.2">
      <c r="A46" s="257"/>
      <c r="B46" s="257"/>
      <c r="C46" s="257"/>
      <c r="D46" s="238"/>
      <c r="E46" s="244"/>
      <c r="F46" s="244"/>
      <c r="G46" s="238"/>
      <c r="H46" s="257"/>
      <c r="I46" s="257"/>
      <c r="J46" s="257"/>
      <c r="K46" s="257"/>
      <c r="L46" s="257"/>
      <c r="M46" s="257"/>
    </row>
    <row r="47" spans="1:13" x14ac:dyDescent="0.2">
      <c r="A47" s="257"/>
      <c r="B47" s="257"/>
      <c r="C47" s="257"/>
      <c r="D47" s="238"/>
      <c r="E47" s="238"/>
      <c r="F47" s="238"/>
      <c r="G47" s="238"/>
      <c r="H47" s="257"/>
      <c r="I47" s="257"/>
      <c r="J47" s="257"/>
      <c r="K47" s="257"/>
      <c r="L47" s="257"/>
      <c r="M47" s="257"/>
    </row>
    <row r="48" spans="1:13" x14ac:dyDescent="0.2">
      <c r="A48" s="257"/>
      <c r="B48" s="257"/>
      <c r="C48" s="257"/>
      <c r="D48" s="238"/>
      <c r="E48" s="244"/>
      <c r="F48" s="244"/>
      <c r="G48" s="238"/>
      <c r="H48" s="257"/>
      <c r="I48" s="257"/>
      <c r="J48" s="257"/>
      <c r="K48" s="257"/>
      <c r="L48" s="257"/>
      <c r="M48" s="257"/>
    </row>
    <row r="49" spans="1:13" x14ac:dyDescent="0.2">
      <c r="A49" s="257"/>
      <c r="B49" s="257"/>
      <c r="C49" s="257"/>
      <c r="D49" s="238"/>
      <c r="E49" s="238"/>
      <c r="F49" s="238"/>
      <c r="G49" s="238"/>
      <c r="H49" s="257"/>
      <c r="I49" s="257"/>
      <c r="J49" s="257"/>
      <c r="K49" s="257"/>
      <c r="L49" s="257"/>
      <c r="M49" s="257"/>
    </row>
    <row r="50" spans="1:13" x14ac:dyDescent="0.2">
      <c r="A50" s="257"/>
      <c r="B50" s="257"/>
      <c r="C50" s="257"/>
      <c r="D50" s="238"/>
      <c r="E50" s="244"/>
      <c r="F50" s="244"/>
      <c r="G50" s="238"/>
      <c r="H50" s="257"/>
      <c r="I50" s="257"/>
      <c r="J50" s="257"/>
      <c r="K50" s="257"/>
      <c r="L50" s="257"/>
      <c r="M50" s="257"/>
    </row>
    <row r="51" spans="1:13" x14ac:dyDescent="0.2">
      <c r="A51" s="257"/>
      <c r="B51" s="257"/>
      <c r="C51" s="257"/>
      <c r="D51" s="238"/>
      <c r="E51" s="238"/>
      <c r="F51" s="238"/>
      <c r="G51" s="238"/>
      <c r="H51" s="257"/>
      <c r="I51" s="257"/>
      <c r="J51" s="257"/>
      <c r="K51" s="257"/>
      <c r="L51" s="257"/>
      <c r="M51" s="257"/>
    </row>
    <row r="52" spans="1:13" x14ac:dyDescent="0.2">
      <c r="A52" s="257"/>
      <c r="B52" s="257"/>
      <c r="C52" s="257"/>
      <c r="D52" s="238"/>
      <c r="E52" s="244"/>
      <c r="F52" s="244"/>
      <c r="G52" s="238"/>
      <c r="H52" s="257"/>
      <c r="I52" s="257"/>
      <c r="J52" s="257"/>
      <c r="K52" s="257"/>
      <c r="L52" s="257"/>
      <c r="M52" s="257"/>
    </row>
    <row r="53" spans="1:13" x14ac:dyDescent="0.2">
      <c r="A53" s="257"/>
      <c r="B53" s="257"/>
      <c r="C53" s="257"/>
      <c r="D53" s="238"/>
      <c r="E53" s="238"/>
      <c r="F53" s="238"/>
      <c r="G53" s="238"/>
      <c r="H53" s="257"/>
      <c r="I53" s="257"/>
      <c r="J53" s="257"/>
      <c r="K53" s="257"/>
      <c r="L53" s="257"/>
      <c r="M53" s="257"/>
    </row>
    <row r="54" spans="1:13" x14ac:dyDescent="0.2">
      <c r="A54" s="257"/>
      <c r="B54" s="257"/>
      <c r="C54" s="257"/>
      <c r="D54" s="238"/>
      <c r="E54" s="244"/>
      <c r="F54" s="244"/>
      <c r="G54" s="238"/>
      <c r="H54" s="257"/>
      <c r="I54" s="257"/>
      <c r="J54" s="257"/>
      <c r="K54" s="257"/>
      <c r="L54" s="257"/>
      <c r="M54" s="257"/>
    </row>
    <row r="55" spans="1:13" x14ac:dyDescent="0.2">
      <c r="A55" s="257"/>
      <c r="B55" s="257"/>
      <c r="C55" s="257"/>
      <c r="D55" s="238"/>
      <c r="E55" s="238"/>
      <c r="F55" s="238"/>
      <c r="G55" s="238"/>
      <c r="H55" s="257"/>
      <c r="I55" s="257"/>
      <c r="J55" s="257"/>
      <c r="K55" s="257"/>
      <c r="L55" s="257"/>
      <c r="M55" s="257"/>
    </row>
    <row r="56" spans="1:13" x14ac:dyDescent="0.2">
      <c r="A56" s="257"/>
      <c r="B56" s="257"/>
      <c r="C56" s="257"/>
      <c r="D56" s="238"/>
      <c r="E56" s="244"/>
      <c r="F56" s="244"/>
      <c r="G56" s="238"/>
      <c r="H56" s="257"/>
      <c r="I56" s="257"/>
      <c r="J56" s="257"/>
      <c r="K56" s="257"/>
      <c r="L56" s="257"/>
      <c r="M56" s="257"/>
    </row>
    <row r="57" spans="1:13" x14ac:dyDescent="0.2">
      <c r="A57" s="257"/>
      <c r="B57" s="257"/>
      <c r="C57" s="257"/>
      <c r="D57" s="238"/>
      <c r="E57" s="238"/>
      <c r="F57" s="238"/>
      <c r="G57" s="238"/>
      <c r="H57" s="257"/>
      <c r="I57" s="257"/>
      <c r="J57" s="257"/>
      <c r="K57" s="257"/>
      <c r="L57" s="257"/>
      <c r="M57" s="257"/>
    </row>
    <row r="58" spans="1:13" x14ac:dyDescent="0.2">
      <c r="A58" s="257"/>
      <c r="B58" s="257"/>
      <c r="C58" s="257"/>
      <c r="D58" s="238"/>
      <c r="E58" s="244"/>
      <c r="F58" s="244"/>
      <c r="G58" s="238"/>
      <c r="H58" s="257"/>
      <c r="I58" s="257"/>
      <c r="J58" s="257"/>
      <c r="K58" s="257"/>
      <c r="L58" s="257"/>
      <c r="M58" s="257"/>
    </row>
    <row r="59" spans="1:13" x14ac:dyDescent="0.2">
      <c r="A59" s="257"/>
      <c r="B59" s="257"/>
      <c r="C59" s="257"/>
      <c r="D59" s="238"/>
      <c r="E59" s="238"/>
      <c r="F59" s="238"/>
      <c r="G59" s="238"/>
      <c r="H59" s="257"/>
      <c r="I59" s="257"/>
      <c r="J59" s="257"/>
      <c r="K59" s="257"/>
      <c r="L59" s="257"/>
      <c r="M59" s="257"/>
    </row>
    <row r="60" spans="1:13" x14ac:dyDescent="0.2">
      <c r="A60" s="257"/>
      <c r="B60" s="257"/>
      <c r="C60" s="257"/>
      <c r="D60" s="238"/>
      <c r="E60" s="244"/>
      <c r="F60" s="244"/>
      <c r="G60" s="238"/>
      <c r="H60" s="257"/>
      <c r="I60" s="257"/>
      <c r="J60" s="257"/>
      <c r="K60" s="257"/>
      <c r="L60" s="257"/>
      <c r="M60" s="257"/>
    </row>
    <row r="61" spans="1:13" x14ac:dyDescent="0.2">
      <c r="A61" s="257"/>
      <c r="B61" s="257"/>
      <c r="C61" s="257"/>
      <c r="D61" s="238"/>
      <c r="E61" s="238"/>
      <c r="F61" s="238"/>
      <c r="G61" s="238"/>
      <c r="H61" s="257"/>
      <c r="I61" s="257"/>
      <c r="J61" s="257"/>
      <c r="K61" s="257"/>
      <c r="L61" s="257"/>
      <c r="M61" s="257"/>
    </row>
    <row r="62" spans="1:13" x14ac:dyDescent="0.2">
      <c r="A62" s="257"/>
      <c r="B62" s="257"/>
      <c r="C62" s="257"/>
      <c r="D62" s="238"/>
      <c r="E62" s="244"/>
      <c r="F62" s="244"/>
      <c r="G62" s="238"/>
      <c r="H62" s="257"/>
      <c r="I62" s="257"/>
      <c r="J62" s="257"/>
      <c r="K62" s="257"/>
      <c r="L62" s="257"/>
      <c r="M62" s="257"/>
    </row>
    <row r="63" spans="1:13" x14ac:dyDescent="0.2">
      <c r="A63" s="257"/>
      <c r="B63" s="257"/>
      <c r="C63" s="257"/>
      <c r="D63" s="238"/>
      <c r="E63" s="238"/>
      <c r="F63" s="238"/>
      <c r="G63" s="238"/>
      <c r="H63" s="257"/>
      <c r="I63" s="257"/>
      <c r="J63" s="257"/>
      <c r="K63" s="257"/>
      <c r="L63" s="257"/>
      <c r="M63" s="257"/>
    </row>
    <row r="64" spans="1:13" x14ac:dyDescent="0.2">
      <c r="A64" s="257"/>
      <c r="B64" s="257"/>
      <c r="C64" s="257"/>
      <c r="D64" s="238"/>
      <c r="E64" s="244"/>
      <c r="F64" s="244"/>
      <c r="G64" s="238"/>
      <c r="H64" s="257"/>
      <c r="I64" s="257"/>
      <c r="J64" s="257"/>
      <c r="K64" s="257"/>
      <c r="L64" s="257"/>
      <c r="M64" s="257"/>
    </row>
    <row r="65" spans="1:13" x14ac:dyDescent="0.2">
      <c r="A65" s="257"/>
      <c r="B65" s="257"/>
      <c r="C65" s="257"/>
      <c r="D65" s="238"/>
      <c r="E65" s="238"/>
      <c r="F65" s="238"/>
      <c r="G65" s="238"/>
      <c r="H65" s="257"/>
      <c r="I65" s="257"/>
      <c r="J65" s="257"/>
      <c r="K65" s="257"/>
      <c r="L65" s="257"/>
      <c r="M65" s="257"/>
    </row>
    <row r="66" spans="1:13" x14ac:dyDescent="0.2">
      <c r="A66" s="257"/>
      <c r="B66" s="257"/>
      <c r="C66" s="257"/>
      <c r="D66" s="238"/>
      <c r="E66" s="244"/>
      <c r="F66" s="244"/>
      <c r="G66" s="238"/>
      <c r="H66" s="257"/>
      <c r="I66" s="257"/>
      <c r="J66" s="257"/>
      <c r="K66" s="257"/>
      <c r="L66" s="257"/>
      <c r="M66" s="257"/>
    </row>
    <row r="67" spans="1:13" x14ac:dyDescent="0.2">
      <c r="A67" s="257"/>
      <c r="B67" s="257"/>
      <c r="C67" s="257"/>
      <c r="D67" s="238"/>
      <c r="E67" s="238"/>
      <c r="F67" s="238"/>
      <c r="G67" s="238"/>
      <c r="H67" s="257"/>
      <c r="I67" s="257"/>
      <c r="J67" s="257"/>
      <c r="K67" s="257"/>
      <c r="L67" s="257"/>
      <c r="M67" s="257"/>
    </row>
    <row r="68" spans="1:13" x14ac:dyDescent="0.2">
      <c r="A68" s="257"/>
      <c r="B68" s="257"/>
      <c r="C68" s="257"/>
      <c r="D68" s="238"/>
      <c r="E68" s="244"/>
      <c r="F68" s="244"/>
      <c r="G68" s="238"/>
      <c r="H68" s="257"/>
      <c r="I68" s="257"/>
      <c r="J68" s="257"/>
      <c r="K68" s="257"/>
      <c r="L68" s="257"/>
      <c r="M68" s="257"/>
    </row>
    <row r="69" spans="1:13" x14ac:dyDescent="0.2">
      <c r="A69" s="68"/>
      <c r="B69" s="68"/>
      <c r="C69" s="68"/>
      <c r="D69" s="295"/>
      <c r="E69" s="295"/>
      <c r="F69" s="295"/>
      <c r="G69" s="295"/>
      <c r="H69" s="68"/>
      <c r="I69" s="68"/>
      <c r="J69" s="68"/>
      <c r="K69" s="68"/>
      <c r="L69" s="68"/>
      <c r="M69" s="68"/>
    </row>
    <row r="70" spans="1:13" x14ac:dyDescent="0.2">
      <c r="A70" s="68"/>
      <c r="B70" s="68"/>
      <c r="C70" s="68"/>
      <c r="D70" s="295"/>
      <c r="E70" s="296"/>
      <c r="F70" s="296"/>
      <c r="G70" s="295"/>
      <c r="H70" s="68"/>
      <c r="I70" s="68"/>
      <c r="J70" s="68"/>
      <c r="K70" s="68"/>
      <c r="L70" s="68"/>
      <c r="M70" s="68"/>
    </row>
    <row r="71" spans="1:13" x14ac:dyDescent="0.2">
      <c r="A71" s="68"/>
      <c r="B71" s="68"/>
      <c r="C71" s="68"/>
      <c r="D71" s="295"/>
      <c r="E71" s="295"/>
      <c r="F71" s="295"/>
      <c r="G71" s="295"/>
      <c r="H71" s="68"/>
      <c r="I71" s="68"/>
      <c r="J71" s="68"/>
      <c r="K71" s="68"/>
      <c r="L71" s="68"/>
      <c r="M71" s="68"/>
    </row>
    <row r="72" spans="1:13" x14ac:dyDescent="0.2">
      <c r="A72" s="68"/>
      <c r="B72" s="68"/>
      <c r="C72" s="68"/>
      <c r="D72" s="295"/>
      <c r="E72" s="296"/>
      <c r="F72" s="296"/>
      <c r="G72" s="295"/>
      <c r="H72" s="68"/>
      <c r="I72" s="68"/>
      <c r="J72" s="68"/>
      <c r="K72" s="68"/>
      <c r="L72" s="68"/>
      <c r="M72" s="68"/>
    </row>
    <row r="73" spans="1:13" x14ac:dyDescent="0.2">
      <c r="A73" s="68"/>
      <c r="B73" s="68"/>
      <c r="C73" s="68"/>
      <c r="D73" s="295"/>
      <c r="E73" s="295"/>
      <c r="F73" s="295"/>
      <c r="G73" s="295"/>
      <c r="H73" s="68"/>
      <c r="I73" s="68"/>
      <c r="J73" s="68"/>
      <c r="K73" s="68"/>
      <c r="L73" s="68"/>
      <c r="M73" s="68"/>
    </row>
    <row r="74" spans="1:13" x14ac:dyDescent="0.2">
      <c r="A74" s="68"/>
      <c r="B74" s="68"/>
      <c r="C74" s="68"/>
      <c r="D74" s="295"/>
      <c r="E74" s="296"/>
      <c r="F74" s="296"/>
      <c r="G74" s="295"/>
      <c r="H74" s="68"/>
      <c r="I74" s="68"/>
      <c r="J74" s="68"/>
      <c r="K74" s="68"/>
      <c r="L74" s="68"/>
      <c r="M74" s="68"/>
    </row>
    <row r="75" spans="1:13" x14ac:dyDescent="0.2">
      <c r="A75" s="68"/>
      <c r="B75" s="68"/>
      <c r="C75" s="68"/>
      <c r="D75" s="295"/>
      <c r="E75" s="295"/>
      <c r="F75" s="295"/>
      <c r="G75" s="295"/>
      <c r="H75" s="68"/>
      <c r="I75" s="68"/>
      <c r="J75" s="68"/>
      <c r="K75" s="68"/>
      <c r="L75" s="68"/>
      <c r="M75" s="68"/>
    </row>
    <row r="76" spans="1:13" x14ac:dyDescent="0.2">
      <c r="A76" s="68"/>
      <c r="B76" s="68"/>
      <c r="C76" s="68"/>
      <c r="D76" s="295"/>
      <c r="E76" s="296"/>
      <c r="F76" s="296"/>
      <c r="G76" s="295"/>
      <c r="H76" s="68"/>
      <c r="I76" s="68"/>
      <c r="J76" s="68"/>
      <c r="K76" s="68"/>
      <c r="L76" s="68"/>
      <c r="M76" s="68"/>
    </row>
    <row r="77" spans="1:13" x14ac:dyDescent="0.2">
      <c r="A77" s="68"/>
      <c r="B77" s="68"/>
      <c r="C77" s="68"/>
      <c r="D77" s="295"/>
      <c r="E77" s="295"/>
      <c r="F77" s="295"/>
      <c r="G77" s="295"/>
      <c r="H77" s="68"/>
      <c r="I77" s="68"/>
      <c r="J77" s="68"/>
      <c r="K77" s="68"/>
      <c r="L77" s="68"/>
      <c r="M77" s="68"/>
    </row>
    <row r="78" spans="1:13" x14ac:dyDescent="0.2">
      <c r="A78" s="68"/>
      <c r="B78" s="68"/>
      <c r="C78" s="68"/>
      <c r="D78" s="295"/>
      <c r="E78" s="296"/>
      <c r="F78" s="296"/>
      <c r="G78" s="295"/>
      <c r="H78" s="68"/>
      <c r="I78" s="68"/>
      <c r="J78" s="68"/>
      <c r="K78" s="68"/>
      <c r="L78" s="68"/>
      <c r="M78" s="68"/>
    </row>
    <row r="79" spans="1:13" x14ac:dyDescent="0.2">
      <c r="A79" s="68"/>
      <c r="B79" s="68"/>
      <c r="C79" s="68"/>
      <c r="D79" s="295"/>
      <c r="E79" s="295"/>
      <c r="F79" s="295"/>
      <c r="G79" s="295"/>
      <c r="H79" s="68"/>
      <c r="I79" s="68"/>
      <c r="J79" s="68"/>
      <c r="K79" s="68"/>
      <c r="L79" s="68"/>
      <c r="M79" s="68"/>
    </row>
    <row r="80" spans="1:13" x14ac:dyDescent="0.2">
      <c r="A80" s="68"/>
      <c r="B80" s="68"/>
      <c r="C80" s="68"/>
      <c r="D80" s="295"/>
      <c r="E80" s="296"/>
      <c r="F80" s="296"/>
      <c r="G80" s="295"/>
      <c r="H80" s="68"/>
      <c r="I80" s="68"/>
      <c r="J80" s="68"/>
      <c r="K80" s="68"/>
      <c r="L80" s="68"/>
      <c r="M80" s="68"/>
    </row>
    <row r="81" spans="1:13" x14ac:dyDescent="0.2">
      <c r="A81" s="68"/>
      <c r="B81" s="68"/>
      <c r="C81" s="68"/>
      <c r="D81" s="295"/>
      <c r="E81" s="295"/>
      <c r="F81" s="295"/>
      <c r="G81" s="295"/>
      <c r="H81" s="68"/>
      <c r="I81" s="68"/>
      <c r="J81" s="68"/>
      <c r="K81" s="68"/>
      <c r="L81" s="68"/>
      <c r="M81" s="68"/>
    </row>
    <row r="82" spans="1:13" x14ac:dyDescent="0.2">
      <c r="A82" s="68"/>
      <c r="B82" s="68"/>
      <c r="C82" s="68"/>
      <c r="D82" s="295"/>
      <c r="E82" s="296"/>
      <c r="F82" s="296"/>
      <c r="G82" s="295"/>
      <c r="H82" s="68"/>
      <c r="I82" s="68"/>
      <c r="J82" s="68"/>
      <c r="K82" s="68"/>
      <c r="L82" s="68"/>
      <c r="M82" s="68"/>
    </row>
    <row r="83" spans="1:13" x14ac:dyDescent="0.2">
      <c r="A83" s="68"/>
      <c r="B83" s="68"/>
      <c r="C83" s="68"/>
      <c r="D83" s="295"/>
      <c r="E83" s="295"/>
      <c r="F83" s="295"/>
      <c r="G83" s="295"/>
      <c r="H83" s="68"/>
      <c r="I83" s="68"/>
      <c r="J83" s="68"/>
      <c r="K83" s="68"/>
      <c r="L83" s="68"/>
      <c r="M83" s="68"/>
    </row>
    <row r="84" spans="1:13" x14ac:dyDescent="0.2">
      <c r="A84" s="68"/>
      <c r="B84" s="68"/>
      <c r="C84" s="68"/>
      <c r="D84" s="295"/>
      <c r="E84" s="296"/>
      <c r="F84" s="296"/>
      <c r="G84" s="295"/>
      <c r="H84" s="68"/>
      <c r="I84" s="68"/>
      <c r="J84" s="68"/>
      <c r="K84" s="68"/>
      <c r="L84" s="68"/>
      <c r="M84" s="68"/>
    </row>
    <row r="85" spans="1:13" x14ac:dyDescent="0.2">
      <c r="A85" s="68"/>
      <c r="B85" s="68"/>
      <c r="C85" s="68"/>
      <c r="D85" s="295"/>
      <c r="E85" s="295"/>
      <c r="F85" s="295"/>
      <c r="G85" s="295"/>
      <c r="H85" s="68"/>
      <c r="I85" s="68"/>
      <c r="J85" s="68"/>
      <c r="K85" s="68"/>
      <c r="L85" s="68"/>
      <c r="M85" s="68"/>
    </row>
    <row r="86" spans="1:13" x14ac:dyDescent="0.2">
      <c r="A86" s="68"/>
      <c r="B86" s="68"/>
      <c r="C86" s="68"/>
      <c r="D86" s="295"/>
      <c r="E86" s="296"/>
      <c r="F86" s="296"/>
      <c r="G86" s="295"/>
      <c r="H86" s="68"/>
      <c r="I86" s="68"/>
      <c r="J86" s="68"/>
      <c r="K86" s="68"/>
      <c r="L86" s="68"/>
      <c r="M86" s="68"/>
    </row>
    <row r="87" spans="1:13" x14ac:dyDescent="0.2">
      <c r="A87" s="68"/>
      <c r="B87" s="68"/>
      <c r="C87" s="68"/>
      <c r="D87" s="295"/>
      <c r="E87" s="295"/>
      <c r="F87" s="295"/>
      <c r="G87" s="295"/>
      <c r="H87" s="68"/>
      <c r="I87" s="68"/>
      <c r="J87" s="68"/>
      <c r="K87" s="68"/>
      <c r="L87" s="68"/>
      <c r="M87" s="68"/>
    </row>
    <row r="88" spans="1:13" x14ac:dyDescent="0.2">
      <c r="A88" s="68"/>
      <c r="B88" s="68"/>
      <c r="C88" s="68"/>
      <c r="D88" s="295"/>
      <c r="E88" s="296"/>
      <c r="F88" s="296"/>
      <c r="G88" s="295"/>
      <c r="H88" s="68"/>
      <c r="I88" s="68"/>
      <c r="J88" s="68"/>
      <c r="K88" s="68"/>
      <c r="L88" s="68"/>
      <c r="M88" s="68"/>
    </row>
    <row r="89" spans="1:13" x14ac:dyDescent="0.2">
      <c r="A89" s="68"/>
      <c r="B89" s="68"/>
      <c r="C89" s="68"/>
      <c r="D89" s="295"/>
      <c r="E89" s="295"/>
      <c r="F89" s="295"/>
      <c r="G89" s="295"/>
      <c r="H89" s="68"/>
      <c r="I89" s="68"/>
      <c r="J89" s="68"/>
      <c r="K89" s="68"/>
      <c r="L89" s="68"/>
      <c r="M89" s="68"/>
    </row>
    <row r="90" spans="1:13" x14ac:dyDescent="0.2">
      <c r="A90" s="68"/>
      <c r="B90" s="68"/>
      <c r="C90" s="68"/>
      <c r="D90" s="295"/>
      <c r="E90" s="296"/>
      <c r="F90" s="296"/>
      <c r="G90" s="295"/>
      <c r="H90" s="68"/>
      <c r="I90" s="68"/>
      <c r="J90" s="68"/>
      <c r="K90" s="68"/>
      <c r="L90" s="68"/>
      <c r="M90" s="68"/>
    </row>
    <row r="91" spans="1:13" x14ac:dyDescent="0.2">
      <c r="A91" s="68"/>
      <c r="B91" s="297"/>
      <c r="C91" s="68"/>
      <c r="D91" s="295"/>
      <c r="E91" s="295"/>
      <c r="F91" s="295"/>
      <c r="G91" s="295"/>
      <c r="H91" s="68"/>
      <c r="I91" s="68"/>
      <c r="J91" s="68"/>
      <c r="K91" s="68"/>
      <c r="L91" s="68"/>
      <c r="M91" s="68"/>
    </row>
    <row r="92" spans="1:13" x14ac:dyDescent="0.2">
      <c r="A92" s="68"/>
      <c r="B92" s="68">
        <v>100</v>
      </c>
      <c r="C92" s="68"/>
      <c r="D92" s="295"/>
      <c r="E92" s="296"/>
      <c r="F92" s="296"/>
      <c r="G92" s="295"/>
      <c r="H92" s="68"/>
      <c r="I92" s="68"/>
      <c r="J92" s="68"/>
      <c r="K92" s="68"/>
      <c r="L92" s="68"/>
      <c r="M92" s="68"/>
    </row>
    <row r="93" spans="1:13" x14ac:dyDescent="0.2">
      <c r="A93" s="68"/>
      <c r="B93" s="68">
        <v>1000</v>
      </c>
      <c r="C93" s="68"/>
      <c r="D93" s="295"/>
      <c r="E93" s="295"/>
      <c r="F93" s="295"/>
      <c r="G93" s="295"/>
      <c r="H93" s="68"/>
      <c r="I93" s="68"/>
      <c r="J93" s="68"/>
      <c r="K93" s="68"/>
      <c r="L93" s="68"/>
      <c r="M93" s="68"/>
    </row>
    <row r="94" spans="1:13" x14ac:dyDescent="0.2">
      <c r="A94" s="68"/>
      <c r="B94" s="68"/>
      <c r="C94" s="68"/>
      <c r="D94" s="295"/>
      <c r="E94" s="296"/>
      <c r="F94" s="296"/>
      <c r="G94" s="295"/>
      <c r="H94" s="68"/>
      <c r="I94" s="68"/>
      <c r="J94" s="68"/>
      <c r="K94" s="68"/>
      <c r="L94" s="68"/>
      <c r="M94" s="68"/>
    </row>
    <row r="95" spans="1:13" x14ac:dyDescent="0.2">
      <c r="A95" s="68"/>
      <c r="B95" s="68"/>
      <c r="C95" s="68"/>
      <c r="D95" s="295"/>
      <c r="E95" s="295"/>
      <c r="F95" s="295"/>
      <c r="G95" s="295"/>
      <c r="H95" s="68"/>
      <c r="I95" s="68"/>
      <c r="J95" s="68"/>
      <c r="K95" s="68"/>
      <c r="L95" s="68"/>
      <c r="M95" s="68"/>
    </row>
    <row r="96" spans="1:13" x14ac:dyDescent="0.2">
      <c r="A96" s="68"/>
      <c r="B96" s="68"/>
      <c r="C96" s="68"/>
      <c r="D96" s="295"/>
      <c r="E96" s="296"/>
      <c r="F96" s="296"/>
      <c r="G96" s="295"/>
      <c r="H96" s="68"/>
      <c r="I96" s="68"/>
      <c r="J96" s="68"/>
      <c r="K96" s="68"/>
      <c r="L96" s="68"/>
      <c r="M96" s="68"/>
    </row>
    <row r="97" spans="1:13" x14ac:dyDescent="0.2">
      <c r="A97" s="68"/>
      <c r="B97" s="68"/>
      <c r="C97" s="68"/>
      <c r="D97" s="295"/>
      <c r="E97" s="295"/>
      <c r="F97" s="295"/>
      <c r="G97" s="295"/>
      <c r="H97" s="68"/>
      <c r="I97" s="68"/>
      <c r="J97" s="68"/>
      <c r="K97" s="68"/>
      <c r="L97" s="68"/>
      <c r="M97" s="68"/>
    </row>
    <row r="98" spans="1:13" x14ac:dyDescent="0.2">
      <c r="A98" s="68"/>
      <c r="B98" s="68"/>
      <c r="C98" s="68"/>
      <c r="D98" s="295"/>
      <c r="E98" s="296"/>
      <c r="F98" s="296"/>
      <c r="G98" s="295"/>
      <c r="H98" s="68"/>
      <c r="I98" s="68"/>
      <c r="J98" s="68"/>
      <c r="K98" s="68"/>
      <c r="L98" s="68"/>
      <c r="M98" s="68"/>
    </row>
    <row r="99" spans="1:13" x14ac:dyDescent="0.2">
      <c r="A99" s="68"/>
      <c r="B99" s="68"/>
      <c r="C99" s="68"/>
      <c r="D99" s="295"/>
      <c r="E99" s="295"/>
      <c r="F99" s="295"/>
      <c r="G99" s="295"/>
      <c r="H99" s="68"/>
      <c r="I99" s="68"/>
      <c r="J99" s="68"/>
      <c r="K99" s="68"/>
      <c r="L99" s="68"/>
      <c r="M99" s="68"/>
    </row>
    <row r="100" spans="1:13" x14ac:dyDescent="0.2">
      <c r="A100" s="68"/>
      <c r="B100" s="68"/>
      <c r="C100" s="68"/>
      <c r="D100" s="295"/>
      <c r="E100" s="296"/>
      <c r="F100" s="296"/>
      <c r="G100" s="295"/>
      <c r="H100" s="68"/>
      <c r="I100" s="68"/>
      <c r="J100" s="68"/>
      <c r="K100" s="68"/>
      <c r="L100" s="68"/>
      <c r="M100" s="68"/>
    </row>
    <row r="101" spans="1:13" x14ac:dyDescent="0.2">
      <c r="A101" s="68"/>
      <c r="B101" s="68"/>
      <c r="C101" s="68"/>
      <c r="D101" s="295"/>
      <c r="E101" s="295"/>
      <c r="F101" s="295"/>
      <c r="G101" s="295"/>
      <c r="H101" s="68"/>
      <c r="I101" s="68"/>
      <c r="J101" s="68"/>
      <c r="K101" s="68"/>
      <c r="L101" s="68"/>
      <c r="M101" s="68"/>
    </row>
    <row r="102" spans="1:13" x14ac:dyDescent="0.2">
      <c r="A102" s="68"/>
      <c r="B102" s="68"/>
      <c r="C102" s="68"/>
      <c r="D102" s="295"/>
      <c r="E102" s="296"/>
      <c r="F102" s="296"/>
      <c r="G102" s="295"/>
      <c r="H102" s="68"/>
      <c r="I102" s="68"/>
      <c r="J102" s="68"/>
      <c r="K102" s="68"/>
      <c r="L102" s="68"/>
      <c r="M102" s="68"/>
    </row>
    <row r="103" spans="1:13" x14ac:dyDescent="0.2">
      <c r="A103" s="68"/>
      <c r="B103" s="68"/>
      <c r="C103" s="68"/>
      <c r="D103" s="295"/>
      <c r="E103" s="295"/>
      <c r="F103" s="295"/>
      <c r="G103" s="295"/>
      <c r="H103" s="68"/>
      <c r="I103" s="68"/>
      <c r="J103" s="68"/>
      <c r="K103" s="68"/>
      <c r="L103" s="68"/>
      <c r="M103" s="68"/>
    </row>
    <row r="104" spans="1:13" x14ac:dyDescent="0.2">
      <c r="A104" s="68"/>
      <c r="B104" s="68"/>
      <c r="C104" s="68"/>
      <c r="D104" s="295"/>
      <c r="E104" s="296"/>
      <c r="F104" s="296"/>
      <c r="G104" s="295"/>
      <c r="H104" s="68"/>
      <c r="I104" s="68"/>
      <c r="J104" s="68"/>
      <c r="K104" s="68"/>
      <c r="L104" s="68"/>
      <c r="M104" s="68"/>
    </row>
    <row r="105" spans="1:13" x14ac:dyDescent="0.2">
      <c r="A105" s="68"/>
      <c r="B105" s="68"/>
      <c r="C105" s="68"/>
      <c r="D105" s="295"/>
      <c r="E105" s="295"/>
      <c r="F105" s="295"/>
      <c r="G105" s="295"/>
      <c r="H105" s="68"/>
      <c r="I105" s="68"/>
      <c r="J105" s="68"/>
      <c r="K105" s="68"/>
      <c r="L105" s="68"/>
      <c r="M105" s="68"/>
    </row>
    <row r="106" spans="1:13" x14ac:dyDescent="0.2">
      <c r="A106" s="68"/>
      <c r="B106" s="68"/>
      <c r="C106" s="68"/>
      <c r="D106" s="295"/>
      <c r="E106" s="296"/>
      <c r="F106" s="296"/>
      <c r="G106" s="295"/>
      <c r="H106" s="68"/>
      <c r="I106" s="68"/>
      <c r="J106" s="68"/>
      <c r="K106" s="68"/>
      <c r="L106" s="68"/>
      <c r="M106" s="68"/>
    </row>
    <row r="107" spans="1:13" x14ac:dyDescent="0.2">
      <c r="A107" s="68"/>
      <c r="B107" s="68"/>
      <c r="C107" s="68"/>
      <c r="D107" s="295"/>
      <c r="E107" s="295"/>
      <c r="F107" s="295"/>
      <c r="G107" s="295"/>
      <c r="H107" s="68"/>
      <c r="I107" s="68"/>
      <c r="J107" s="68"/>
      <c r="K107" s="68"/>
      <c r="L107" s="68"/>
      <c r="M107" s="68"/>
    </row>
    <row r="108" spans="1:13" x14ac:dyDescent="0.2">
      <c r="A108" s="68"/>
      <c r="B108" s="68"/>
      <c r="C108" s="68"/>
      <c r="D108" s="295"/>
      <c r="E108" s="296"/>
      <c r="F108" s="296"/>
      <c r="G108" s="295"/>
      <c r="H108" s="68"/>
      <c r="I108" s="68"/>
      <c r="J108" s="68"/>
      <c r="K108" s="68"/>
      <c r="L108" s="68"/>
      <c r="M108" s="68"/>
    </row>
    <row r="109" spans="1:13" x14ac:dyDescent="0.2">
      <c r="A109" s="68"/>
      <c r="B109" s="68"/>
      <c r="C109" s="68"/>
      <c r="D109" s="295"/>
      <c r="E109" s="295"/>
      <c r="F109" s="295"/>
      <c r="G109" s="295"/>
      <c r="H109" s="68"/>
      <c r="I109" s="68"/>
      <c r="J109" s="68"/>
      <c r="K109" s="68"/>
      <c r="L109" s="68"/>
      <c r="M109" s="68"/>
    </row>
    <row r="110" spans="1:13" x14ac:dyDescent="0.2">
      <c r="A110" s="68"/>
      <c r="B110" s="68"/>
      <c r="C110" s="68"/>
      <c r="D110" s="295"/>
      <c r="E110" s="296"/>
      <c r="F110" s="296"/>
      <c r="G110" s="295"/>
      <c r="H110" s="68"/>
      <c r="I110" s="68"/>
      <c r="J110" s="68"/>
      <c r="K110" s="68"/>
      <c r="L110" s="68"/>
      <c r="M110" s="68"/>
    </row>
    <row r="111" spans="1:13" x14ac:dyDescent="0.2">
      <c r="A111" s="68"/>
      <c r="B111" s="68"/>
      <c r="C111" s="68"/>
      <c r="D111" s="295"/>
      <c r="E111" s="295"/>
      <c r="F111" s="295"/>
      <c r="G111" s="295"/>
      <c r="H111" s="68"/>
      <c r="I111" s="68"/>
      <c r="J111" s="68"/>
      <c r="K111" s="68"/>
      <c r="L111" s="68"/>
      <c r="M111" s="68"/>
    </row>
    <row r="112" spans="1:13" x14ac:dyDescent="0.2">
      <c r="A112" s="68"/>
      <c r="B112" s="68"/>
      <c r="C112" s="68"/>
      <c r="D112" s="295"/>
      <c r="E112" s="296"/>
      <c r="F112" s="296"/>
      <c r="G112" s="295"/>
      <c r="H112" s="68"/>
      <c r="I112" s="68"/>
      <c r="J112" s="68"/>
      <c r="K112" s="68"/>
      <c r="L112" s="68"/>
      <c r="M112" s="68"/>
    </row>
    <row r="113" spans="1:13" x14ac:dyDescent="0.2">
      <c r="A113" s="68"/>
      <c r="B113" s="68"/>
      <c r="C113" s="68"/>
      <c r="D113" s="295"/>
      <c r="E113" s="295"/>
      <c r="F113" s="295"/>
      <c r="G113" s="295"/>
      <c r="H113" s="68"/>
      <c r="I113" s="68"/>
      <c r="J113" s="68"/>
      <c r="K113" s="68"/>
      <c r="L113" s="68"/>
      <c r="M113" s="68"/>
    </row>
    <row r="114" spans="1:13" x14ac:dyDescent="0.2">
      <c r="A114" s="68"/>
      <c r="B114" s="68"/>
      <c r="C114" s="68"/>
      <c r="D114" s="295"/>
      <c r="E114" s="296"/>
      <c r="F114" s="296"/>
      <c r="G114" s="295"/>
      <c r="H114" s="68"/>
      <c r="I114" s="68"/>
      <c r="J114" s="68"/>
      <c r="K114" s="68"/>
      <c r="L114" s="68"/>
      <c r="M114" s="68"/>
    </row>
    <row r="115" spans="1:13" x14ac:dyDescent="0.2">
      <c r="A115" s="68"/>
      <c r="B115" s="68"/>
      <c r="C115" s="68"/>
      <c r="D115" s="295"/>
      <c r="E115" s="295"/>
      <c r="F115" s="295"/>
      <c r="G115" s="295"/>
      <c r="H115" s="68"/>
      <c r="I115" s="68"/>
      <c r="J115" s="68"/>
      <c r="K115" s="68"/>
      <c r="L115" s="68"/>
      <c r="M115" s="68"/>
    </row>
    <row r="116" spans="1:13" x14ac:dyDescent="0.2">
      <c r="A116" s="68"/>
      <c r="B116" s="68"/>
      <c r="C116" s="68"/>
      <c r="D116" s="295"/>
      <c r="E116" s="296"/>
      <c r="F116" s="296"/>
      <c r="G116" s="295"/>
      <c r="H116" s="68"/>
      <c r="I116" s="68"/>
      <c r="J116" s="68"/>
      <c r="K116" s="68"/>
      <c r="L116" s="68"/>
      <c r="M116" s="68"/>
    </row>
    <row r="117" spans="1:13" x14ac:dyDescent="0.2">
      <c r="A117" s="68"/>
      <c r="B117" s="68"/>
      <c r="C117" s="68"/>
      <c r="D117" s="295"/>
      <c r="E117" s="295"/>
      <c r="F117" s="295"/>
      <c r="G117" s="295"/>
      <c r="H117" s="68"/>
      <c r="I117" s="68"/>
      <c r="J117" s="68"/>
      <c r="K117" s="68"/>
      <c r="L117" s="68"/>
      <c r="M117" s="68"/>
    </row>
    <row r="118" spans="1:13" x14ac:dyDescent="0.2">
      <c r="A118" s="68"/>
      <c r="B118" s="68"/>
      <c r="C118" s="68"/>
      <c r="D118" s="295"/>
      <c r="E118" s="296"/>
      <c r="F118" s="296"/>
      <c r="G118" s="295"/>
      <c r="H118" s="68"/>
      <c r="I118" s="68"/>
      <c r="J118" s="68"/>
      <c r="K118" s="68"/>
      <c r="L118" s="68"/>
      <c r="M118" s="68"/>
    </row>
    <row r="119" spans="1:13" x14ac:dyDescent="0.2">
      <c r="A119" s="68"/>
      <c r="B119" s="68"/>
      <c r="C119" s="68"/>
      <c r="D119" s="295"/>
      <c r="E119" s="295"/>
      <c r="F119" s="295"/>
      <c r="G119" s="295"/>
      <c r="H119" s="68"/>
      <c r="I119" s="68"/>
      <c r="J119" s="68"/>
      <c r="K119" s="68"/>
      <c r="L119" s="68"/>
      <c r="M119" s="68"/>
    </row>
    <row r="120" spans="1:13" x14ac:dyDescent="0.2">
      <c r="A120" s="68"/>
      <c r="B120" s="68"/>
      <c r="C120" s="68"/>
      <c r="D120" s="295"/>
      <c r="E120" s="296"/>
      <c r="F120" s="296"/>
      <c r="G120" s="295"/>
      <c r="H120" s="68"/>
      <c r="I120" s="68"/>
      <c r="J120" s="68"/>
      <c r="K120" s="68"/>
      <c r="L120" s="68"/>
      <c r="M120" s="68"/>
    </row>
    <row r="121" spans="1:13" x14ac:dyDescent="0.2">
      <c r="A121" s="68"/>
      <c r="B121" s="68"/>
      <c r="C121" s="68"/>
      <c r="D121" s="295"/>
      <c r="E121" s="295"/>
      <c r="F121" s="295"/>
      <c r="G121" s="295"/>
      <c r="H121" s="68"/>
      <c r="I121" s="68"/>
      <c r="J121" s="68"/>
      <c r="K121" s="68"/>
      <c r="L121" s="68"/>
      <c r="M121" s="68"/>
    </row>
    <row r="122" spans="1:13" x14ac:dyDescent="0.2">
      <c r="A122" s="68"/>
      <c r="B122" s="68"/>
      <c r="C122" s="68"/>
      <c r="D122" s="295"/>
      <c r="E122" s="296"/>
      <c r="F122" s="296"/>
      <c r="G122" s="295"/>
      <c r="H122" s="68"/>
      <c r="I122" s="68"/>
      <c r="J122" s="68"/>
      <c r="K122" s="68"/>
      <c r="L122" s="68"/>
      <c r="M122" s="68"/>
    </row>
    <row r="123" spans="1:13" x14ac:dyDescent="0.2">
      <c r="A123" s="68"/>
      <c r="B123" s="68"/>
      <c r="C123" s="68"/>
      <c r="D123" s="295"/>
      <c r="E123" s="295"/>
      <c r="F123" s="295"/>
      <c r="G123" s="295"/>
      <c r="H123" s="68"/>
      <c r="I123" s="68"/>
      <c r="J123" s="68"/>
      <c r="K123" s="68"/>
      <c r="L123" s="68"/>
      <c r="M123" s="68"/>
    </row>
    <row r="124" spans="1:13" x14ac:dyDescent="0.2">
      <c r="A124" s="68"/>
      <c r="B124" s="68"/>
      <c r="C124" s="68"/>
      <c r="D124" s="295"/>
      <c r="E124" s="296"/>
      <c r="F124" s="296"/>
      <c r="G124" s="295"/>
      <c r="H124" s="68"/>
      <c r="I124" s="68"/>
      <c r="J124" s="68"/>
      <c r="K124" s="68"/>
      <c r="L124" s="68"/>
      <c r="M124" s="68"/>
    </row>
    <row r="125" spans="1:13" x14ac:dyDescent="0.2">
      <c r="A125" s="68"/>
      <c r="B125" s="68"/>
      <c r="C125" s="68"/>
      <c r="D125" s="295"/>
      <c r="E125" s="295"/>
      <c r="F125" s="295"/>
      <c r="G125" s="295"/>
      <c r="H125" s="68"/>
      <c r="I125" s="68"/>
      <c r="J125" s="68"/>
      <c r="K125" s="68"/>
      <c r="L125" s="68"/>
      <c r="M125" s="68"/>
    </row>
    <row r="126" spans="1:13" x14ac:dyDescent="0.2">
      <c r="A126" s="68"/>
      <c r="B126" s="68"/>
      <c r="C126" s="68"/>
      <c r="D126" s="295"/>
      <c r="E126" s="296"/>
      <c r="F126" s="296"/>
      <c r="G126" s="295"/>
      <c r="H126" s="68"/>
      <c r="I126" s="68"/>
      <c r="J126" s="68"/>
      <c r="K126" s="68"/>
      <c r="L126" s="68"/>
      <c r="M126" s="68"/>
    </row>
    <row r="127" spans="1:13" x14ac:dyDescent="0.2">
      <c r="A127" s="68"/>
      <c r="B127" s="68"/>
      <c r="C127" s="68"/>
      <c r="D127" s="295"/>
      <c r="E127" s="295"/>
      <c r="F127" s="295"/>
      <c r="G127" s="295"/>
      <c r="H127" s="68"/>
      <c r="I127" s="68"/>
      <c r="J127" s="68"/>
      <c r="K127" s="68"/>
      <c r="L127" s="68"/>
      <c r="M127" s="68"/>
    </row>
    <row r="128" spans="1:13" x14ac:dyDescent="0.2">
      <c r="A128" s="68"/>
      <c r="B128" s="68"/>
      <c r="C128" s="68"/>
      <c r="D128" s="295"/>
      <c r="E128" s="296"/>
      <c r="F128" s="296"/>
      <c r="G128" s="295"/>
      <c r="H128" s="68"/>
      <c r="I128" s="68"/>
      <c r="J128" s="68"/>
      <c r="K128" s="68"/>
      <c r="L128" s="68"/>
      <c r="M128" s="68"/>
    </row>
    <row r="129" spans="1:13" x14ac:dyDescent="0.2">
      <c r="A129" s="68"/>
      <c r="B129" s="68"/>
      <c r="C129" s="68"/>
      <c r="D129" s="295"/>
      <c r="E129" s="295"/>
      <c r="F129" s="295"/>
      <c r="G129" s="295"/>
      <c r="H129" s="68"/>
      <c r="I129" s="68"/>
      <c r="J129" s="68"/>
      <c r="K129" s="68"/>
      <c r="L129" s="68"/>
      <c r="M129" s="68"/>
    </row>
    <row r="130" spans="1:13" x14ac:dyDescent="0.2">
      <c r="A130" s="68"/>
      <c r="B130" s="68"/>
      <c r="C130" s="68"/>
      <c r="D130" s="295"/>
      <c r="E130" s="296"/>
      <c r="F130" s="296"/>
      <c r="G130" s="295"/>
      <c r="H130" s="68"/>
      <c r="I130" s="68"/>
      <c r="J130" s="68"/>
      <c r="K130" s="68"/>
      <c r="L130" s="68"/>
      <c r="M130" s="68"/>
    </row>
    <row r="131" spans="1:13" x14ac:dyDescent="0.2">
      <c r="A131" s="68"/>
      <c r="B131" s="68"/>
      <c r="C131" s="68"/>
      <c r="D131" s="295"/>
      <c r="E131" s="295"/>
      <c r="F131" s="295"/>
      <c r="G131" s="295"/>
      <c r="H131" s="68"/>
      <c r="I131" s="68"/>
      <c r="J131" s="68"/>
      <c r="K131" s="68"/>
      <c r="L131" s="68"/>
      <c r="M131" s="68"/>
    </row>
    <row r="132" spans="1:13" x14ac:dyDescent="0.2">
      <c r="A132" s="68"/>
      <c r="B132" s="68"/>
      <c r="C132" s="68"/>
      <c r="D132" s="295"/>
      <c r="E132" s="296"/>
      <c r="F132" s="296"/>
      <c r="G132" s="295"/>
      <c r="H132" s="68"/>
      <c r="I132" s="68"/>
      <c r="J132" s="68"/>
      <c r="K132" s="68"/>
      <c r="L132" s="68"/>
      <c r="M132" s="68"/>
    </row>
    <row r="133" spans="1:13" x14ac:dyDescent="0.2">
      <c r="A133" s="68"/>
      <c r="B133" s="68"/>
      <c r="C133" s="68"/>
      <c r="D133" s="295"/>
      <c r="E133" s="295"/>
      <c r="F133" s="295"/>
      <c r="G133" s="295"/>
      <c r="H133" s="68"/>
      <c r="I133" s="68"/>
      <c r="J133" s="68"/>
      <c r="K133" s="68"/>
      <c r="L133" s="68"/>
      <c r="M133" s="68"/>
    </row>
    <row r="134" spans="1:13" x14ac:dyDescent="0.2">
      <c r="A134" s="68"/>
      <c r="B134" s="68"/>
      <c r="C134" s="68"/>
      <c r="D134" s="295"/>
      <c r="E134" s="296"/>
      <c r="F134" s="296"/>
      <c r="G134" s="295"/>
      <c r="H134" s="68"/>
      <c r="I134" s="68"/>
      <c r="J134" s="68"/>
      <c r="K134" s="68"/>
      <c r="L134" s="68"/>
      <c r="M134" s="68"/>
    </row>
    <row r="135" spans="1:13" x14ac:dyDescent="0.2">
      <c r="A135" s="68"/>
      <c r="B135" s="68"/>
      <c r="C135" s="68"/>
      <c r="D135" s="295"/>
      <c r="E135" s="295"/>
      <c r="F135" s="295"/>
      <c r="G135" s="295"/>
      <c r="H135" s="68"/>
      <c r="I135" s="68"/>
      <c r="J135" s="68"/>
      <c r="K135" s="68"/>
      <c r="L135" s="68"/>
      <c r="M135" s="68"/>
    </row>
    <row r="136" spans="1:13" x14ac:dyDescent="0.2">
      <c r="A136" s="68"/>
      <c r="B136" s="68"/>
      <c r="C136" s="68"/>
      <c r="D136" s="295"/>
      <c r="E136" s="296"/>
      <c r="F136" s="296"/>
      <c r="G136" s="295"/>
      <c r="H136" s="68"/>
      <c r="I136" s="68"/>
      <c r="J136" s="68"/>
      <c r="K136" s="68"/>
      <c r="L136" s="68"/>
      <c r="M136" s="68"/>
    </row>
    <row r="137" spans="1:13" x14ac:dyDescent="0.2">
      <c r="A137" s="68"/>
      <c r="B137" s="68"/>
      <c r="C137" s="68"/>
      <c r="D137" s="295"/>
      <c r="E137" s="295"/>
      <c r="F137" s="295"/>
      <c r="G137" s="295"/>
      <c r="H137" s="68"/>
      <c r="I137" s="68"/>
      <c r="J137" s="68"/>
      <c r="K137" s="68"/>
      <c r="L137" s="68"/>
      <c r="M137" s="68"/>
    </row>
    <row r="138" spans="1:13" x14ac:dyDescent="0.2">
      <c r="A138" s="68"/>
      <c r="B138" s="68"/>
      <c r="C138" s="68"/>
      <c r="D138" s="295"/>
      <c r="E138" s="296"/>
      <c r="F138" s="296"/>
      <c r="G138" s="295"/>
      <c r="H138" s="68"/>
      <c r="I138" s="68"/>
      <c r="J138" s="68"/>
      <c r="K138" s="68"/>
      <c r="L138" s="68"/>
      <c r="M138" s="68"/>
    </row>
    <row r="139" spans="1:13" x14ac:dyDescent="0.2">
      <c r="A139" s="68"/>
      <c r="B139" s="68"/>
      <c r="C139" s="68"/>
      <c r="D139" s="295"/>
      <c r="E139" s="295"/>
      <c r="F139" s="295"/>
      <c r="G139" s="295"/>
      <c r="H139" s="68"/>
      <c r="I139" s="68"/>
      <c r="J139" s="68"/>
      <c r="K139" s="68"/>
      <c r="L139" s="68"/>
      <c r="M139" s="68"/>
    </row>
    <row r="140" spans="1:13" x14ac:dyDescent="0.2">
      <c r="A140" s="68"/>
      <c r="B140" s="68"/>
      <c r="C140" s="68"/>
      <c r="D140" s="295"/>
      <c r="E140" s="296"/>
      <c r="F140" s="296"/>
      <c r="G140" s="295"/>
      <c r="H140" s="68"/>
      <c r="I140" s="68"/>
      <c r="J140" s="68"/>
      <c r="K140" s="68"/>
      <c r="L140" s="68"/>
      <c r="M140" s="68"/>
    </row>
    <row r="141" spans="1:13" x14ac:dyDescent="0.2">
      <c r="A141" s="68"/>
      <c r="B141" s="68"/>
      <c r="C141" s="68"/>
      <c r="D141" s="295"/>
      <c r="E141" s="295"/>
      <c r="F141" s="295"/>
      <c r="G141" s="295"/>
      <c r="H141" s="68"/>
      <c r="I141" s="68"/>
      <c r="J141" s="68"/>
      <c r="K141" s="68"/>
      <c r="L141" s="68"/>
      <c r="M141" s="68"/>
    </row>
    <row r="142" spans="1:13" x14ac:dyDescent="0.2">
      <c r="A142" s="68"/>
      <c r="B142" s="68"/>
      <c r="C142" s="68"/>
      <c r="D142" s="295"/>
      <c r="E142" s="296"/>
      <c r="F142" s="296"/>
      <c r="G142" s="295"/>
      <c r="H142" s="68"/>
      <c r="I142" s="68"/>
      <c r="J142" s="68"/>
      <c r="K142" s="68"/>
      <c r="L142" s="68"/>
      <c r="M142" s="68"/>
    </row>
    <row r="143" spans="1:13" x14ac:dyDescent="0.2">
      <c r="A143" s="68"/>
      <c r="B143" s="68"/>
      <c r="C143" s="68"/>
      <c r="D143" s="295"/>
      <c r="E143" s="295"/>
      <c r="F143" s="295"/>
      <c r="G143" s="295"/>
      <c r="H143" s="68"/>
      <c r="I143" s="68"/>
      <c r="J143" s="68"/>
      <c r="K143" s="68"/>
      <c r="L143" s="68"/>
      <c r="M143" s="68"/>
    </row>
    <row r="144" spans="1:13" x14ac:dyDescent="0.2">
      <c r="A144" s="68"/>
      <c r="B144" s="68"/>
      <c r="C144" s="68"/>
      <c r="D144" s="295"/>
      <c r="E144" s="296"/>
      <c r="F144" s="296"/>
      <c r="G144" s="295"/>
      <c r="H144" s="68"/>
      <c r="I144" s="68"/>
      <c r="J144" s="68"/>
      <c r="K144" s="68"/>
      <c r="L144" s="68"/>
      <c r="M144" s="68"/>
    </row>
    <row r="145" spans="1:13" x14ac:dyDescent="0.2">
      <c r="A145" s="68"/>
      <c r="B145" s="68"/>
      <c r="C145" s="68"/>
      <c r="D145" s="295"/>
      <c r="E145" s="295"/>
      <c r="F145" s="295"/>
      <c r="G145" s="295"/>
      <c r="H145" s="68"/>
      <c r="I145" s="68"/>
      <c r="J145" s="68"/>
      <c r="K145" s="68"/>
      <c r="L145" s="68"/>
      <c r="M145" s="68"/>
    </row>
    <row r="146" spans="1:13" x14ac:dyDescent="0.2">
      <c r="A146" s="68"/>
      <c r="B146" s="68"/>
      <c r="C146" s="68"/>
      <c r="D146" s="295"/>
      <c r="E146" s="296"/>
      <c r="F146" s="296"/>
      <c r="G146" s="295"/>
      <c r="H146" s="68"/>
      <c r="I146" s="68"/>
      <c r="J146" s="68"/>
      <c r="K146" s="68"/>
      <c r="L146" s="68"/>
      <c r="M146" s="68"/>
    </row>
    <row r="147" spans="1:13" x14ac:dyDescent="0.2">
      <c r="A147" s="68"/>
      <c r="B147" s="68"/>
      <c r="C147" s="68"/>
      <c r="D147" s="295"/>
      <c r="E147" s="295"/>
      <c r="F147" s="295"/>
      <c r="G147" s="295"/>
      <c r="H147" s="68"/>
      <c r="I147" s="68"/>
      <c r="J147" s="68"/>
      <c r="K147" s="68"/>
      <c r="L147" s="68"/>
      <c r="M147" s="68"/>
    </row>
    <row r="148" spans="1:13" x14ac:dyDescent="0.2">
      <c r="A148" s="68"/>
      <c r="B148" s="68"/>
      <c r="C148" s="68"/>
      <c r="D148" s="295"/>
      <c r="E148" s="296"/>
      <c r="F148" s="296"/>
      <c r="G148" s="295"/>
      <c r="H148" s="68"/>
      <c r="I148" s="68"/>
      <c r="J148" s="68"/>
      <c r="K148" s="68"/>
      <c r="L148" s="68"/>
      <c r="M148" s="68"/>
    </row>
    <row r="149" spans="1:13" x14ac:dyDescent="0.2">
      <c r="A149" s="68"/>
      <c r="B149" s="68"/>
      <c r="C149" s="68"/>
      <c r="D149" s="295"/>
      <c r="E149" s="295"/>
      <c r="F149" s="295"/>
      <c r="G149" s="295"/>
      <c r="H149" s="68"/>
      <c r="I149" s="68"/>
      <c r="J149" s="68"/>
      <c r="K149" s="68"/>
      <c r="L149" s="68"/>
      <c r="M149" s="68"/>
    </row>
    <row r="150" spans="1:13" x14ac:dyDescent="0.2">
      <c r="A150" s="68"/>
      <c r="B150" s="68"/>
      <c r="C150" s="68"/>
      <c r="D150" s="295"/>
      <c r="E150" s="296"/>
      <c r="F150" s="296"/>
      <c r="G150" s="295"/>
      <c r="H150" s="68"/>
      <c r="I150" s="68"/>
      <c r="J150" s="68"/>
      <c r="K150" s="68"/>
      <c r="L150" s="68"/>
      <c r="M150" s="68"/>
    </row>
    <row r="151" spans="1:13" x14ac:dyDescent="0.2">
      <c r="A151" s="68"/>
      <c r="B151" s="68"/>
      <c r="C151" s="68"/>
      <c r="D151" s="295"/>
      <c r="E151" s="295"/>
      <c r="F151" s="295"/>
      <c r="G151" s="295"/>
      <c r="H151" s="68"/>
      <c r="I151" s="68"/>
      <c r="J151" s="68"/>
      <c r="K151" s="68"/>
      <c r="L151" s="68"/>
      <c r="M151" s="68"/>
    </row>
    <row r="152" spans="1:13" x14ac:dyDescent="0.2">
      <c r="A152" s="68"/>
      <c r="B152" s="68"/>
      <c r="C152" s="68"/>
      <c r="D152" s="295"/>
      <c r="E152" s="296"/>
      <c r="F152" s="296"/>
      <c r="G152" s="295"/>
      <c r="H152" s="68"/>
      <c r="I152" s="68"/>
      <c r="J152" s="68"/>
      <c r="K152" s="68"/>
      <c r="L152" s="68"/>
      <c r="M152" s="68"/>
    </row>
    <row r="153" spans="1:13" x14ac:dyDescent="0.2">
      <c r="A153" s="68"/>
      <c r="B153" s="68"/>
      <c r="C153" s="68"/>
      <c r="D153" s="295"/>
      <c r="E153" s="295"/>
      <c r="F153" s="295"/>
      <c r="G153" s="295"/>
      <c r="H153" s="68"/>
      <c r="I153" s="68"/>
      <c r="J153" s="68"/>
      <c r="K153" s="68"/>
      <c r="L153" s="68"/>
      <c r="M153" s="68"/>
    </row>
    <row r="154" spans="1:13" x14ac:dyDescent="0.2">
      <c r="A154" s="68"/>
      <c r="B154" s="68"/>
      <c r="C154" s="68"/>
      <c r="D154" s="295"/>
      <c r="E154" s="296"/>
      <c r="F154" s="296"/>
      <c r="G154" s="295"/>
      <c r="H154" s="68"/>
      <c r="I154" s="68"/>
      <c r="J154" s="68"/>
      <c r="K154" s="68"/>
      <c r="L154" s="68"/>
      <c r="M154" s="68"/>
    </row>
    <row r="155" spans="1:13" x14ac:dyDescent="0.2">
      <c r="A155" s="68"/>
      <c r="B155" s="68"/>
      <c r="C155" s="68"/>
      <c r="D155" s="295"/>
      <c r="E155" s="295"/>
      <c r="F155" s="295"/>
      <c r="G155" s="295"/>
      <c r="H155" s="68"/>
      <c r="I155" s="68"/>
      <c r="J155" s="68"/>
      <c r="K155" s="68"/>
      <c r="L155" s="68"/>
      <c r="M155" s="68"/>
    </row>
    <row r="156" spans="1:13" x14ac:dyDescent="0.2">
      <c r="A156" s="68"/>
      <c r="B156" s="68"/>
      <c r="C156" s="68"/>
      <c r="D156" s="295"/>
      <c r="E156" s="296"/>
      <c r="F156" s="296"/>
      <c r="G156" s="295"/>
      <c r="H156" s="68"/>
      <c r="I156" s="68"/>
      <c r="J156" s="68"/>
      <c r="K156" s="68"/>
      <c r="L156" s="68"/>
      <c r="M156" s="68"/>
    </row>
    <row r="157" spans="1:13" x14ac:dyDescent="0.2">
      <c r="A157" s="68"/>
      <c r="B157" s="68"/>
      <c r="C157" s="68"/>
      <c r="D157" s="295"/>
      <c r="E157" s="295"/>
      <c r="F157" s="295"/>
      <c r="G157" s="295"/>
      <c r="H157" s="68"/>
      <c r="I157" s="68"/>
      <c r="J157" s="68"/>
      <c r="K157" s="68"/>
      <c r="L157" s="68"/>
      <c r="M157" s="68"/>
    </row>
    <row r="158" spans="1:13" x14ac:dyDescent="0.2">
      <c r="A158" s="68"/>
      <c r="B158" s="68"/>
      <c r="C158" s="68"/>
      <c r="D158" s="295"/>
      <c r="E158" s="296"/>
      <c r="F158" s="296"/>
      <c r="G158" s="295"/>
      <c r="H158" s="68"/>
      <c r="I158" s="68"/>
      <c r="J158" s="68"/>
      <c r="K158" s="68"/>
      <c r="L158" s="68"/>
      <c r="M158" s="68"/>
    </row>
    <row r="159" spans="1:13" x14ac:dyDescent="0.2">
      <c r="A159" s="68"/>
      <c r="B159" s="68"/>
      <c r="C159" s="68"/>
      <c r="D159" s="295"/>
      <c r="E159" s="295"/>
      <c r="F159" s="295"/>
      <c r="G159" s="295"/>
      <c r="H159" s="68"/>
      <c r="I159" s="68"/>
      <c r="J159" s="68"/>
      <c r="K159" s="68"/>
      <c r="L159" s="68"/>
      <c r="M159" s="68"/>
    </row>
    <row r="160" spans="1:13" x14ac:dyDescent="0.2">
      <c r="A160" s="68"/>
      <c r="B160" s="68"/>
      <c r="C160" s="68"/>
      <c r="D160" s="295"/>
      <c r="E160" s="296"/>
      <c r="F160" s="296"/>
      <c r="G160" s="295"/>
      <c r="H160" s="68"/>
      <c r="I160" s="68"/>
      <c r="J160" s="68"/>
      <c r="K160" s="68"/>
      <c r="L160" s="68"/>
      <c r="M160" s="68"/>
    </row>
    <row r="161" spans="1:13" x14ac:dyDescent="0.2">
      <c r="A161" s="68"/>
      <c r="B161" s="68"/>
      <c r="C161" s="68"/>
      <c r="D161" s="295"/>
      <c r="E161" s="295"/>
      <c r="F161" s="295"/>
      <c r="G161" s="295"/>
      <c r="H161" s="68"/>
      <c r="I161" s="68"/>
      <c r="J161" s="68"/>
      <c r="K161" s="68"/>
      <c r="L161" s="68"/>
      <c r="M161" s="68"/>
    </row>
    <row r="162" spans="1:13" x14ac:dyDescent="0.2">
      <c r="A162" s="68"/>
      <c r="B162" s="68"/>
      <c r="C162" s="68"/>
      <c r="D162" s="295"/>
      <c r="E162" s="296"/>
      <c r="F162" s="296"/>
      <c r="G162" s="295"/>
      <c r="H162" s="68"/>
      <c r="I162" s="68"/>
      <c r="J162" s="68"/>
      <c r="K162" s="68"/>
      <c r="L162" s="68"/>
      <c r="M162" s="68"/>
    </row>
    <row r="163" spans="1:13" x14ac:dyDescent="0.2">
      <c r="A163" s="68"/>
      <c r="B163" s="68"/>
      <c r="C163" s="68"/>
      <c r="D163" s="295"/>
      <c r="E163" s="295"/>
      <c r="F163" s="295"/>
      <c r="G163" s="295"/>
      <c r="H163" s="68"/>
      <c r="I163" s="68"/>
      <c r="J163" s="68"/>
      <c r="K163" s="68"/>
      <c r="L163" s="68"/>
      <c r="M163" s="68"/>
    </row>
    <row r="164" spans="1:13" x14ac:dyDescent="0.2">
      <c r="A164" s="68"/>
      <c r="B164" s="68"/>
      <c r="C164" s="68"/>
      <c r="D164" s="295"/>
      <c r="E164" s="296"/>
      <c r="F164" s="296"/>
      <c r="G164" s="295"/>
      <c r="H164" s="68"/>
      <c r="I164" s="68"/>
      <c r="J164" s="68"/>
      <c r="K164" s="68"/>
      <c r="L164" s="68"/>
      <c r="M164" s="68"/>
    </row>
    <row r="165" spans="1:13" x14ac:dyDescent="0.2">
      <c r="A165" s="68"/>
      <c r="B165" s="68"/>
      <c r="C165" s="68"/>
      <c r="D165" s="295"/>
      <c r="E165" s="295"/>
      <c r="F165" s="295"/>
      <c r="G165" s="295"/>
      <c r="H165" s="68"/>
      <c r="I165" s="68"/>
      <c r="J165" s="68"/>
      <c r="K165" s="68"/>
      <c r="L165" s="68"/>
      <c r="M165" s="68"/>
    </row>
    <row r="166" spans="1:13" x14ac:dyDescent="0.2">
      <c r="A166" s="68"/>
      <c r="B166" s="68"/>
      <c r="C166" s="68"/>
      <c r="D166" s="295"/>
      <c r="E166" s="296"/>
      <c r="F166" s="296"/>
      <c r="G166" s="295"/>
      <c r="H166" s="68"/>
      <c r="I166" s="68"/>
      <c r="J166" s="68"/>
      <c r="K166" s="68"/>
      <c r="L166" s="68"/>
      <c r="M166" s="68"/>
    </row>
    <row r="167" spans="1:13" x14ac:dyDescent="0.2">
      <c r="A167" s="68"/>
      <c r="B167" s="68"/>
      <c r="C167" s="68"/>
      <c r="D167" s="295"/>
      <c r="E167" s="295"/>
      <c r="F167" s="295"/>
      <c r="G167" s="295"/>
      <c r="H167" s="68"/>
      <c r="I167" s="68"/>
      <c r="J167" s="68"/>
      <c r="K167" s="68"/>
      <c r="L167" s="68"/>
      <c r="M167" s="68"/>
    </row>
    <row r="168" spans="1:13" x14ac:dyDescent="0.2">
      <c r="A168" s="68"/>
      <c r="B168" s="68"/>
      <c r="C168" s="68"/>
      <c r="D168" s="295"/>
      <c r="E168" s="296"/>
      <c r="F168" s="296"/>
      <c r="G168" s="295"/>
      <c r="H168" s="68"/>
      <c r="I168" s="68"/>
      <c r="J168" s="68"/>
      <c r="K168" s="68"/>
      <c r="L168" s="68"/>
      <c r="M168" s="68"/>
    </row>
    <row r="169" spans="1:13" x14ac:dyDescent="0.2">
      <c r="A169" s="68"/>
      <c r="B169" s="68"/>
      <c r="C169" s="68"/>
      <c r="D169" s="295"/>
      <c r="E169" s="295"/>
      <c r="F169" s="295"/>
      <c r="G169" s="295"/>
      <c r="H169" s="68"/>
      <c r="I169" s="68"/>
      <c r="J169" s="68"/>
      <c r="K169" s="68"/>
      <c r="L169" s="68"/>
      <c r="M169" s="68"/>
    </row>
    <row r="170" spans="1:13" x14ac:dyDescent="0.2">
      <c r="A170" s="68"/>
      <c r="B170" s="68"/>
      <c r="C170" s="68"/>
      <c r="D170" s="295"/>
      <c r="E170" s="296"/>
      <c r="F170" s="296"/>
      <c r="G170" s="295"/>
      <c r="H170" s="68"/>
      <c r="I170" s="68"/>
      <c r="J170" s="68"/>
      <c r="K170" s="68"/>
      <c r="L170" s="68"/>
      <c r="M170" s="68"/>
    </row>
    <row r="171" spans="1:13" x14ac:dyDescent="0.2">
      <c r="A171" s="68"/>
      <c r="B171" s="68"/>
      <c r="C171" s="68"/>
      <c r="D171" s="295"/>
      <c r="E171" s="295"/>
      <c r="F171" s="295"/>
      <c r="G171" s="295"/>
      <c r="H171" s="68"/>
      <c r="I171" s="68"/>
      <c r="J171" s="68"/>
      <c r="K171" s="68"/>
      <c r="L171" s="68"/>
      <c r="M171" s="68"/>
    </row>
    <row r="172" spans="1:13" x14ac:dyDescent="0.2">
      <c r="A172" s="68"/>
      <c r="B172" s="68"/>
      <c r="C172" s="68"/>
      <c r="D172" s="295"/>
      <c r="E172" s="296"/>
      <c r="F172" s="296"/>
      <c r="G172" s="295"/>
      <c r="H172" s="68"/>
      <c r="I172" s="68"/>
      <c r="J172" s="68"/>
      <c r="K172" s="68"/>
      <c r="L172" s="68"/>
      <c r="M172" s="68"/>
    </row>
    <row r="173" spans="1:13" x14ac:dyDescent="0.2">
      <c r="A173" s="68"/>
      <c r="B173" s="68"/>
      <c r="C173" s="68"/>
      <c r="D173" s="295"/>
      <c r="E173" s="295"/>
      <c r="F173" s="295"/>
      <c r="G173" s="295"/>
      <c r="H173" s="68"/>
      <c r="I173" s="68"/>
      <c r="J173" s="68"/>
      <c r="K173" s="68"/>
      <c r="L173" s="68"/>
      <c r="M173" s="68"/>
    </row>
    <row r="174" spans="1:13" x14ac:dyDescent="0.2">
      <c r="A174" s="68"/>
      <c r="B174" s="68"/>
      <c r="C174" s="68"/>
      <c r="D174" s="295"/>
      <c r="E174" s="296"/>
      <c r="F174" s="296"/>
      <c r="G174" s="295"/>
      <c r="H174" s="68"/>
      <c r="I174" s="68"/>
      <c r="J174" s="68"/>
      <c r="K174" s="68"/>
      <c r="L174" s="68"/>
      <c r="M174" s="68"/>
    </row>
    <row r="175" spans="1:13" x14ac:dyDescent="0.2">
      <c r="A175" s="68"/>
      <c r="B175" s="68"/>
      <c r="C175" s="68"/>
      <c r="D175" s="295"/>
      <c r="E175" s="295"/>
      <c r="F175" s="295"/>
      <c r="G175" s="295"/>
      <c r="H175" s="68"/>
      <c r="I175" s="68"/>
      <c r="J175" s="68"/>
      <c r="K175" s="68"/>
      <c r="L175" s="68"/>
      <c r="M175" s="68"/>
    </row>
    <row r="176" spans="1:13" x14ac:dyDescent="0.2">
      <c r="A176" s="68"/>
      <c r="B176" s="68"/>
      <c r="C176" s="68"/>
      <c r="D176" s="295"/>
      <c r="E176" s="296"/>
      <c r="F176" s="296"/>
      <c r="G176" s="295"/>
      <c r="H176" s="68"/>
      <c r="I176" s="68"/>
      <c r="J176" s="68"/>
      <c r="K176" s="68"/>
      <c r="L176" s="68"/>
      <c r="M176" s="68"/>
    </row>
    <row r="177" spans="1:13" x14ac:dyDescent="0.2">
      <c r="A177" s="68"/>
      <c r="B177" s="68"/>
      <c r="C177" s="68"/>
      <c r="D177" s="295"/>
      <c r="E177" s="295"/>
      <c r="F177" s="295"/>
      <c r="G177" s="295"/>
      <c r="H177" s="68"/>
      <c r="I177" s="68"/>
      <c r="J177" s="68"/>
      <c r="K177" s="68"/>
      <c r="L177" s="68"/>
      <c r="M177" s="68"/>
    </row>
    <row r="178" spans="1:13" x14ac:dyDescent="0.2">
      <c r="A178" s="68"/>
      <c r="B178" s="68"/>
      <c r="C178" s="68"/>
      <c r="D178" s="295"/>
      <c r="E178" s="296"/>
      <c r="F178" s="296"/>
      <c r="G178" s="295"/>
      <c r="H178" s="68"/>
      <c r="I178" s="68"/>
      <c r="J178" s="68"/>
      <c r="K178" s="68"/>
      <c r="L178" s="68"/>
      <c r="M178" s="68"/>
    </row>
    <row r="179" spans="1:13" x14ac:dyDescent="0.2">
      <c r="A179" s="68"/>
      <c r="B179" s="68"/>
      <c r="C179" s="68"/>
      <c r="D179" s="295"/>
      <c r="E179" s="295"/>
      <c r="F179" s="295"/>
      <c r="G179" s="295"/>
      <c r="H179" s="68"/>
      <c r="I179" s="68"/>
      <c r="J179" s="68"/>
      <c r="K179" s="68"/>
      <c r="L179" s="68"/>
      <c r="M179" s="68"/>
    </row>
    <row r="180" spans="1:13" x14ac:dyDescent="0.2">
      <c r="A180" s="68"/>
      <c r="B180" s="68"/>
      <c r="C180" s="68"/>
      <c r="D180" s="295"/>
      <c r="E180" s="296"/>
      <c r="F180" s="296"/>
      <c r="G180" s="295"/>
      <c r="H180" s="68"/>
      <c r="I180" s="68"/>
      <c r="J180" s="68"/>
      <c r="K180" s="68"/>
      <c r="L180" s="68"/>
      <c r="M180" s="68"/>
    </row>
    <row r="181" spans="1:13" x14ac:dyDescent="0.2">
      <c r="A181" s="68"/>
      <c r="B181" s="68"/>
      <c r="C181" s="68"/>
      <c r="D181" s="295"/>
      <c r="E181" s="295"/>
      <c r="F181" s="295"/>
      <c r="G181" s="295"/>
      <c r="H181" s="68"/>
      <c r="I181" s="68"/>
      <c r="J181" s="68"/>
      <c r="K181" s="68"/>
      <c r="L181" s="68"/>
      <c r="M181" s="68"/>
    </row>
    <row r="182" spans="1:13" x14ac:dyDescent="0.2">
      <c r="A182" s="68"/>
      <c r="B182" s="68"/>
      <c r="C182" s="68"/>
      <c r="D182" s="295"/>
      <c r="E182" s="296"/>
      <c r="F182" s="296"/>
      <c r="G182" s="295"/>
      <c r="H182" s="68"/>
      <c r="I182" s="68"/>
      <c r="J182" s="68"/>
      <c r="K182" s="68"/>
      <c r="L182" s="68"/>
      <c r="M182" s="68"/>
    </row>
    <row r="183" spans="1:13" x14ac:dyDescent="0.2">
      <c r="A183" s="68"/>
      <c r="B183" s="68"/>
      <c r="C183" s="68"/>
      <c r="D183" s="295"/>
      <c r="E183" s="295"/>
      <c r="F183" s="295"/>
      <c r="G183" s="295"/>
      <c r="H183" s="68"/>
      <c r="I183" s="68"/>
      <c r="J183" s="68"/>
      <c r="K183" s="68"/>
      <c r="L183" s="68"/>
      <c r="M183" s="68"/>
    </row>
    <row r="184" spans="1:13" x14ac:dyDescent="0.2">
      <c r="A184" s="68"/>
      <c r="B184" s="68"/>
      <c r="C184" s="68"/>
      <c r="D184" s="295"/>
      <c r="E184" s="296"/>
      <c r="F184" s="296"/>
      <c r="G184" s="295"/>
      <c r="H184" s="68"/>
      <c r="I184" s="68"/>
      <c r="J184" s="68"/>
      <c r="K184" s="68"/>
      <c r="L184" s="68"/>
      <c r="M184" s="68"/>
    </row>
    <row r="185" spans="1:13" x14ac:dyDescent="0.2">
      <c r="A185" s="68"/>
      <c r="B185" s="68"/>
      <c r="C185" s="68"/>
      <c r="D185" s="295"/>
      <c r="E185" s="295"/>
      <c r="F185" s="295"/>
      <c r="G185" s="295"/>
      <c r="H185" s="68"/>
      <c r="I185" s="68"/>
      <c r="J185" s="68"/>
      <c r="K185" s="68"/>
      <c r="L185" s="68"/>
      <c r="M185" s="68"/>
    </row>
    <row r="186" spans="1:13" x14ac:dyDescent="0.2">
      <c r="A186" s="68"/>
      <c r="B186" s="68"/>
      <c r="C186" s="68"/>
      <c r="D186" s="295"/>
      <c r="E186" s="296"/>
      <c r="F186" s="296"/>
      <c r="G186" s="295"/>
      <c r="H186" s="68"/>
      <c r="I186" s="68"/>
      <c r="J186" s="68"/>
      <c r="K186" s="68"/>
      <c r="L186" s="68"/>
      <c r="M186" s="68"/>
    </row>
    <row r="187" spans="1:13" x14ac:dyDescent="0.2">
      <c r="A187" s="68"/>
      <c r="B187" s="68"/>
      <c r="C187" s="68"/>
      <c r="D187" s="295"/>
      <c r="E187" s="295"/>
      <c r="F187" s="295"/>
      <c r="G187" s="295"/>
      <c r="H187" s="68"/>
      <c r="I187" s="68"/>
      <c r="J187" s="68"/>
      <c r="K187" s="68"/>
      <c r="L187" s="68"/>
      <c r="M187" s="68"/>
    </row>
    <row r="188" spans="1:13" x14ac:dyDescent="0.2">
      <c r="A188" s="68"/>
      <c r="B188" s="68"/>
      <c r="C188" s="68"/>
      <c r="D188" s="295"/>
      <c r="E188" s="296"/>
      <c r="F188" s="296"/>
      <c r="G188" s="295"/>
      <c r="H188" s="68"/>
      <c r="I188" s="68"/>
      <c r="J188" s="68"/>
      <c r="K188" s="68"/>
      <c r="L188" s="68"/>
      <c r="M188" s="68"/>
    </row>
    <row r="189" spans="1:13" x14ac:dyDescent="0.2">
      <c r="A189" s="68"/>
      <c r="B189" s="68"/>
      <c r="C189" s="68"/>
      <c r="D189" s="295"/>
      <c r="E189" s="295"/>
      <c r="F189" s="295"/>
      <c r="G189" s="295"/>
      <c r="H189" s="68"/>
      <c r="I189" s="68"/>
      <c r="J189" s="68"/>
      <c r="K189" s="68"/>
      <c r="L189" s="68"/>
      <c r="M189" s="68"/>
    </row>
    <row r="190" spans="1:13" x14ac:dyDescent="0.2">
      <c r="A190" s="68"/>
      <c r="B190" s="68"/>
      <c r="C190" s="68"/>
      <c r="D190" s="295"/>
      <c r="E190" s="296"/>
      <c r="F190" s="296"/>
      <c r="G190" s="295"/>
      <c r="H190" s="68"/>
      <c r="I190" s="68"/>
      <c r="J190" s="68"/>
      <c r="K190" s="68"/>
      <c r="L190" s="68"/>
      <c r="M190" s="68"/>
    </row>
    <row r="191" spans="1:13" x14ac:dyDescent="0.2">
      <c r="A191" s="68"/>
      <c r="B191" s="68"/>
      <c r="C191" s="68"/>
      <c r="D191" s="295"/>
      <c r="E191" s="295"/>
      <c r="F191" s="295"/>
      <c r="G191" s="295"/>
      <c r="H191" s="68"/>
      <c r="I191" s="68"/>
      <c r="J191" s="68"/>
      <c r="K191" s="68"/>
      <c r="L191" s="68"/>
      <c r="M191" s="68"/>
    </row>
    <row r="192" spans="1:13" x14ac:dyDescent="0.2">
      <c r="A192" s="68"/>
      <c r="B192" s="68"/>
      <c r="C192" s="68"/>
      <c r="D192" s="295"/>
      <c r="E192" s="296"/>
      <c r="F192" s="296"/>
      <c r="G192" s="295"/>
      <c r="H192" s="68"/>
      <c r="I192" s="68"/>
      <c r="J192" s="68"/>
      <c r="K192" s="68"/>
      <c r="L192" s="68"/>
      <c r="M192" s="68"/>
    </row>
    <row r="193" spans="1:13" x14ac:dyDescent="0.2">
      <c r="A193" s="68"/>
      <c r="B193" s="68"/>
      <c r="C193" s="68"/>
      <c r="D193" s="295"/>
      <c r="E193" s="295"/>
      <c r="F193" s="295"/>
      <c r="G193" s="295"/>
      <c r="H193" s="68"/>
      <c r="I193" s="68"/>
      <c r="J193" s="68"/>
      <c r="K193" s="68"/>
      <c r="L193" s="68"/>
      <c r="M193" s="68"/>
    </row>
    <row r="194" spans="1:13" x14ac:dyDescent="0.2">
      <c r="A194" s="68"/>
      <c r="B194" s="68"/>
      <c r="C194" s="68"/>
      <c r="D194" s="295"/>
      <c r="E194" s="296"/>
      <c r="F194" s="296"/>
      <c r="G194" s="295"/>
      <c r="H194" s="68"/>
      <c r="I194" s="68"/>
      <c r="J194" s="68"/>
      <c r="K194" s="68"/>
      <c r="L194" s="68"/>
      <c r="M194" s="68"/>
    </row>
    <row r="195" spans="1:13" x14ac:dyDescent="0.2">
      <c r="A195" s="68"/>
      <c r="B195" s="68"/>
      <c r="C195" s="68"/>
      <c r="D195" s="295"/>
      <c r="E195" s="295"/>
      <c r="F195" s="295"/>
      <c r="G195" s="295"/>
      <c r="H195" s="68"/>
      <c r="I195" s="68"/>
      <c r="J195" s="68"/>
      <c r="K195" s="68"/>
      <c r="L195" s="68"/>
      <c r="M195" s="68"/>
    </row>
    <row r="196" spans="1:13" x14ac:dyDescent="0.2">
      <c r="A196" s="68"/>
      <c r="B196" s="68"/>
      <c r="C196" s="68"/>
      <c r="D196" s="295"/>
      <c r="E196" s="296"/>
      <c r="F196" s="296"/>
      <c r="G196" s="295"/>
      <c r="H196" s="68"/>
      <c r="I196" s="68"/>
      <c r="J196" s="68"/>
      <c r="K196" s="68"/>
      <c r="L196" s="68"/>
      <c r="M196" s="68"/>
    </row>
    <row r="197" spans="1:13" x14ac:dyDescent="0.2">
      <c r="A197" s="68"/>
      <c r="B197" s="68"/>
      <c r="C197" s="68"/>
      <c r="D197" s="295"/>
      <c r="E197" s="295"/>
      <c r="F197" s="295"/>
      <c r="G197" s="295"/>
      <c r="H197" s="68"/>
      <c r="I197" s="68"/>
      <c r="J197" s="68"/>
      <c r="K197" s="68"/>
      <c r="L197" s="68"/>
      <c r="M197" s="68"/>
    </row>
    <row r="198" spans="1:13" x14ac:dyDescent="0.2">
      <c r="A198" s="68"/>
      <c r="B198" s="68"/>
      <c r="C198" s="68"/>
      <c r="D198" s="295"/>
      <c r="E198" s="296"/>
      <c r="F198" s="296"/>
      <c r="G198" s="295"/>
      <c r="H198" s="68"/>
      <c r="I198" s="68"/>
      <c r="J198" s="68"/>
      <c r="K198" s="68"/>
      <c r="L198" s="68"/>
      <c r="M198" s="68"/>
    </row>
    <row r="199" spans="1:13" x14ac:dyDescent="0.2">
      <c r="A199" s="68"/>
      <c r="B199" s="68"/>
      <c r="C199" s="68"/>
      <c r="D199" s="295"/>
      <c r="E199" s="295"/>
      <c r="F199" s="295"/>
      <c r="G199" s="295"/>
      <c r="H199" s="68"/>
      <c r="I199" s="68"/>
      <c r="J199" s="68"/>
      <c r="K199" s="68"/>
      <c r="L199" s="68"/>
      <c r="M199" s="68"/>
    </row>
    <row r="200" spans="1:13" x14ac:dyDescent="0.2">
      <c r="A200" s="68"/>
      <c r="B200" s="68"/>
      <c r="C200" s="68"/>
      <c r="D200" s="295"/>
      <c r="E200" s="296"/>
      <c r="F200" s="296"/>
      <c r="G200" s="295"/>
      <c r="H200" s="68"/>
      <c r="I200" s="68"/>
      <c r="J200" s="68"/>
      <c r="K200" s="68"/>
      <c r="L200" s="68"/>
      <c r="M200" s="68"/>
    </row>
    <row r="201" spans="1:13" x14ac:dyDescent="0.2">
      <c r="A201" s="68"/>
      <c r="B201" s="68"/>
      <c r="C201" s="68"/>
      <c r="D201" s="295"/>
      <c r="E201" s="295"/>
      <c r="F201" s="295"/>
      <c r="G201" s="295"/>
      <c r="H201" s="68"/>
      <c r="I201" s="68"/>
      <c r="J201" s="68"/>
      <c r="K201" s="68"/>
      <c r="L201" s="68"/>
      <c r="M201" s="68"/>
    </row>
    <row r="202" spans="1:13" x14ac:dyDescent="0.2">
      <c r="A202" s="68"/>
      <c r="B202" s="68"/>
      <c r="C202" s="68"/>
      <c r="D202" s="295"/>
      <c r="E202" s="296"/>
      <c r="F202" s="296"/>
      <c r="G202" s="295"/>
      <c r="H202" s="68"/>
      <c r="I202" s="68"/>
      <c r="J202" s="68"/>
      <c r="K202" s="68"/>
      <c r="L202" s="68"/>
      <c r="M202" s="68"/>
    </row>
    <row r="203" spans="1:13" x14ac:dyDescent="0.2">
      <c r="A203" s="68"/>
      <c r="B203" s="68"/>
      <c r="C203" s="68"/>
      <c r="D203" s="295"/>
      <c r="E203" s="295"/>
      <c r="F203" s="295"/>
      <c r="G203" s="295"/>
      <c r="H203" s="68"/>
      <c r="I203" s="68"/>
      <c r="J203" s="68"/>
      <c r="K203" s="68"/>
      <c r="L203" s="68"/>
      <c r="M203" s="68"/>
    </row>
    <row r="204" spans="1:13" x14ac:dyDescent="0.2">
      <c r="A204" s="68"/>
      <c r="B204" s="68"/>
      <c r="C204" s="68"/>
      <c r="D204" s="295"/>
      <c r="E204" s="296"/>
      <c r="F204" s="296"/>
      <c r="G204" s="295"/>
      <c r="H204" s="68"/>
      <c r="I204" s="68"/>
      <c r="J204" s="68"/>
      <c r="K204" s="68"/>
      <c r="L204" s="68"/>
      <c r="M204" s="68"/>
    </row>
    <row r="205" spans="1:13" x14ac:dyDescent="0.2">
      <c r="A205" s="68"/>
      <c r="B205" s="68"/>
      <c r="C205" s="68"/>
      <c r="D205" s="295"/>
      <c r="E205" s="295"/>
      <c r="F205" s="295"/>
      <c r="G205" s="295"/>
      <c r="H205" s="68"/>
      <c r="I205" s="68"/>
      <c r="J205" s="68"/>
      <c r="K205" s="68"/>
      <c r="L205" s="68"/>
      <c r="M205" s="68"/>
    </row>
    <row r="206" spans="1:13" x14ac:dyDescent="0.2">
      <c r="A206" s="68"/>
      <c r="B206" s="68"/>
      <c r="C206" s="68"/>
      <c r="D206" s="295"/>
      <c r="E206" s="296"/>
      <c r="F206" s="296"/>
      <c r="G206" s="295"/>
      <c r="H206" s="68"/>
      <c r="I206" s="68"/>
      <c r="J206" s="68"/>
      <c r="K206" s="68"/>
      <c r="L206" s="68"/>
      <c r="M206" s="68"/>
    </row>
    <row r="207" spans="1:13" x14ac:dyDescent="0.2">
      <c r="A207" s="68"/>
      <c r="B207" s="68"/>
      <c r="C207" s="68"/>
      <c r="D207" s="295"/>
      <c r="E207" s="295"/>
      <c r="F207" s="295"/>
      <c r="G207" s="295"/>
      <c r="H207" s="68"/>
      <c r="I207" s="68"/>
      <c r="J207" s="68"/>
      <c r="K207" s="68"/>
      <c r="L207" s="68"/>
      <c r="M207" s="68"/>
    </row>
    <row r="208" spans="1:13" x14ac:dyDescent="0.2">
      <c r="A208" s="68"/>
      <c r="B208" s="68"/>
      <c r="C208" s="68"/>
      <c r="D208" s="295"/>
      <c r="E208" s="296"/>
      <c r="F208" s="296"/>
      <c r="G208" s="295"/>
      <c r="H208" s="68"/>
      <c r="I208" s="68"/>
      <c r="J208" s="68"/>
      <c r="K208" s="68"/>
      <c r="L208" s="68"/>
      <c r="M208" s="68"/>
    </row>
    <row r="209" spans="1:13" x14ac:dyDescent="0.2">
      <c r="A209" s="68"/>
      <c r="B209" s="68"/>
      <c r="C209" s="68"/>
      <c r="D209" s="295"/>
      <c r="E209" s="295"/>
      <c r="F209" s="295"/>
      <c r="G209" s="295"/>
      <c r="H209" s="68"/>
      <c r="I209" s="68"/>
      <c r="J209" s="68"/>
      <c r="K209" s="68"/>
      <c r="L209" s="68"/>
      <c r="M209" s="68"/>
    </row>
    <row r="210" spans="1:13" x14ac:dyDescent="0.2">
      <c r="A210" s="68"/>
      <c r="B210" s="68"/>
      <c r="C210" s="68"/>
      <c r="D210" s="295"/>
      <c r="E210" s="296"/>
      <c r="F210" s="296"/>
      <c r="G210" s="295"/>
      <c r="H210" s="68"/>
      <c r="I210" s="68"/>
      <c r="J210" s="68"/>
      <c r="K210" s="68"/>
      <c r="L210" s="68"/>
      <c r="M210" s="68"/>
    </row>
    <row r="211" spans="1:13" x14ac:dyDescent="0.2">
      <c r="A211" s="68"/>
      <c r="B211" s="68"/>
      <c r="C211" s="68"/>
      <c r="D211" s="295"/>
      <c r="E211" s="295"/>
      <c r="F211" s="295"/>
      <c r="G211" s="295"/>
      <c r="H211" s="68"/>
      <c r="I211" s="68"/>
      <c r="J211" s="68"/>
      <c r="K211" s="68"/>
      <c r="L211" s="68"/>
      <c r="M211" s="68"/>
    </row>
    <row r="212" spans="1:13" x14ac:dyDescent="0.2">
      <c r="A212" s="68"/>
      <c r="B212" s="68"/>
      <c r="C212" s="68"/>
      <c r="D212" s="295"/>
      <c r="E212" s="296"/>
      <c r="F212" s="296"/>
      <c r="G212" s="295"/>
      <c r="H212" s="68"/>
      <c r="I212" s="68"/>
      <c r="J212" s="68"/>
      <c r="K212" s="68"/>
      <c r="L212" s="68"/>
      <c r="M212" s="68"/>
    </row>
    <row r="213" spans="1:13" x14ac:dyDescent="0.2">
      <c r="A213" s="68"/>
      <c r="B213" s="68"/>
      <c r="C213" s="68"/>
      <c r="D213" s="295"/>
      <c r="E213" s="295"/>
      <c r="F213" s="295"/>
      <c r="G213" s="295"/>
      <c r="H213" s="68"/>
      <c r="I213" s="68"/>
      <c r="J213" s="68"/>
      <c r="K213" s="68"/>
      <c r="L213" s="68"/>
      <c r="M213" s="68"/>
    </row>
    <row r="214" spans="1:13" x14ac:dyDescent="0.2">
      <c r="A214" s="68"/>
      <c r="B214" s="68"/>
      <c r="C214" s="68"/>
      <c r="D214" s="295"/>
      <c r="E214" s="296"/>
      <c r="F214" s="296"/>
      <c r="G214" s="295"/>
      <c r="H214" s="68"/>
      <c r="I214" s="68"/>
      <c r="J214" s="68"/>
      <c r="K214" s="68"/>
      <c r="L214" s="68"/>
      <c r="M214" s="68"/>
    </row>
    <row r="215" spans="1:13" x14ac:dyDescent="0.2">
      <c r="A215" s="68"/>
      <c r="B215" s="68"/>
      <c r="C215" s="68"/>
      <c r="D215" s="295"/>
      <c r="E215" s="295"/>
      <c r="F215" s="295"/>
      <c r="G215" s="295"/>
      <c r="H215" s="68"/>
      <c r="I215" s="68"/>
      <c r="J215" s="68"/>
      <c r="K215" s="68"/>
      <c r="L215" s="68"/>
      <c r="M215" s="68"/>
    </row>
    <row r="216" spans="1:13" x14ac:dyDescent="0.2">
      <c r="A216" s="68"/>
      <c r="B216" s="68"/>
      <c r="C216" s="68"/>
      <c r="D216" s="295"/>
      <c r="E216" s="296"/>
      <c r="F216" s="296"/>
      <c r="G216" s="295"/>
      <c r="H216" s="68"/>
      <c r="I216" s="68"/>
      <c r="J216" s="68"/>
      <c r="K216" s="68"/>
      <c r="L216" s="68"/>
      <c r="M216" s="68"/>
    </row>
    <row r="217" spans="1:13" x14ac:dyDescent="0.2">
      <c r="A217" s="68"/>
      <c r="B217" s="68"/>
      <c r="C217" s="68"/>
      <c r="D217" s="295"/>
      <c r="E217" s="295"/>
      <c r="F217" s="295"/>
      <c r="G217" s="295"/>
      <c r="H217" s="68"/>
      <c r="I217" s="68"/>
      <c r="J217" s="68"/>
      <c r="K217" s="68"/>
      <c r="L217" s="68"/>
      <c r="M217" s="68"/>
    </row>
    <row r="218" spans="1:13" x14ac:dyDescent="0.2">
      <c r="A218" s="68"/>
      <c r="B218" s="68"/>
      <c r="C218" s="68"/>
      <c r="D218" s="295"/>
      <c r="E218" s="296"/>
      <c r="F218" s="296"/>
      <c r="G218" s="295"/>
      <c r="H218" s="68"/>
      <c r="I218" s="68"/>
      <c r="J218" s="68"/>
      <c r="K218" s="68"/>
      <c r="L218" s="68"/>
      <c r="M218" s="68"/>
    </row>
    <row r="219" spans="1:13" x14ac:dyDescent="0.2">
      <c r="A219" s="68"/>
      <c r="B219" s="68"/>
      <c r="C219" s="68"/>
      <c r="D219" s="295"/>
      <c r="E219" s="295"/>
      <c r="F219" s="295"/>
      <c r="G219" s="295"/>
      <c r="H219" s="68"/>
      <c r="I219" s="68"/>
      <c r="J219" s="68"/>
      <c r="K219" s="68"/>
      <c r="L219" s="68"/>
      <c r="M219" s="68"/>
    </row>
    <row r="220" spans="1:13" x14ac:dyDescent="0.2">
      <c r="A220" s="68"/>
      <c r="B220" s="68"/>
      <c r="C220" s="68"/>
      <c r="D220" s="295"/>
      <c r="E220" s="296"/>
      <c r="F220" s="296"/>
      <c r="G220" s="295"/>
      <c r="H220" s="68"/>
      <c r="I220" s="68"/>
      <c r="J220" s="68"/>
      <c r="K220" s="68"/>
      <c r="L220" s="68"/>
      <c r="M220" s="68"/>
    </row>
    <row r="221" spans="1:13" x14ac:dyDescent="0.2">
      <c r="A221" s="68"/>
      <c r="B221" s="68"/>
      <c r="C221" s="68"/>
      <c r="D221" s="295"/>
      <c r="E221" s="295"/>
      <c r="F221" s="295"/>
      <c r="G221" s="295"/>
      <c r="H221" s="68"/>
      <c r="I221" s="68"/>
      <c r="J221" s="68"/>
      <c r="K221" s="68"/>
      <c r="L221" s="68"/>
      <c r="M221" s="68"/>
    </row>
    <row r="222" spans="1:13" x14ac:dyDescent="0.2">
      <c r="A222" s="68"/>
      <c r="B222" s="68"/>
      <c r="C222" s="68"/>
      <c r="D222" s="295"/>
      <c r="E222" s="296"/>
      <c r="F222" s="296"/>
      <c r="G222" s="295"/>
      <c r="H222" s="68"/>
      <c r="I222" s="68"/>
      <c r="J222" s="68"/>
      <c r="K222" s="68"/>
      <c r="L222" s="68"/>
      <c r="M222" s="68"/>
    </row>
    <row r="223" spans="1:13" x14ac:dyDescent="0.2">
      <c r="A223" s="68"/>
      <c r="B223" s="68"/>
      <c r="C223" s="68"/>
      <c r="D223" s="295"/>
      <c r="E223" s="295"/>
      <c r="F223" s="295"/>
      <c r="G223" s="295"/>
      <c r="H223" s="68"/>
      <c r="I223" s="68"/>
      <c r="J223" s="68"/>
      <c r="K223" s="68"/>
      <c r="L223" s="68"/>
      <c r="M223" s="68"/>
    </row>
    <row r="224" spans="1:13" x14ac:dyDescent="0.2">
      <c r="A224" s="68"/>
      <c r="B224" s="68"/>
      <c r="C224" s="68"/>
      <c r="D224" s="295"/>
      <c r="E224" s="296"/>
      <c r="F224" s="296"/>
      <c r="G224" s="295"/>
      <c r="H224" s="68"/>
      <c r="I224" s="68"/>
      <c r="J224" s="68"/>
      <c r="K224" s="68"/>
      <c r="L224" s="68"/>
      <c r="M224" s="68"/>
    </row>
    <row r="225" spans="1:13" x14ac:dyDescent="0.2">
      <c r="A225" s="68"/>
      <c r="B225" s="68"/>
      <c r="C225" s="68"/>
      <c r="D225" s="295"/>
      <c r="E225" s="295"/>
      <c r="F225" s="295"/>
      <c r="G225" s="295"/>
      <c r="H225" s="68"/>
      <c r="I225" s="68"/>
      <c r="J225" s="68"/>
      <c r="K225" s="68"/>
      <c r="L225" s="68"/>
      <c r="M225" s="68"/>
    </row>
    <row r="226" spans="1:13" x14ac:dyDescent="0.2">
      <c r="A226" s="68"/>
      <c r="B226" s="68"/>
      <c r="C226" s="68"/>
      <c r="D226" s="295"/>
      <c r="E226" s="296"/>
      <c r="F226" s="296"/>
      <c r="G226" s="295"/>
      <c r="H226" s="68"/>
      <c r="I226" s="68"/>
      <c r="J226" s="68"/>
      <c r="K226" s="68"/>
      <c r="L226" s="68"/>
      <c r="M226" s="68"/>
    </row>
    <row r="227" spans="1:13" x14ac:dyDescent="0.2">
      <c r="A227" s="68"/>
      <c r="B227" s="68"/>
      <c r="C227" s="68"/>
      <c r="D227" s="295"/>
      <c r="E227" s="295"/>
      <c r="F227" s="295"/>
      <c r="G227" s="295"/>
      <c r="H227" s="68"/>
      <c r="I227" s="68"/>
      <c r="J227" s="68"/>
      <c r="K227" s="68"/>
      <c r="L227" s="68"/>
      <c r="M227" s="68"/>
    </row>
    <row r="228" spans="1:13" x14ac:dyDescent="0.2">
      <c r="A228" s="68"/>
      <c r="B228" s="68"/>
      <c r="C228" s="68"/>
      <c r="D228" s="295"/>
      <c r="E228" s="296"/>
      <c r="F228" s="296"/>
      <c r="G228" s="295"/>
      <c r="H228" s="68"/>
      <c r="I228" s="68"/>
      <c r="J228" s="68"/>
      <c r="K228" s="68"/>
      <c r="L228" s="68"/>
      <c r="M228" s="68"/>
    </row>
    <row r="229" spans="1:13" x14ac:dyDescent="0.2">
      <c r="A229" s="68"/>
      <c r="B229" s="68"/>
      <c r="C229" s="68"/>
      <c r="D229" s="295"/>
      <c r="E229" s="295"/>
      <c r="F229" s="295"/>
      <c r="G229" s="295"/>
      <c r="H229" s="68"/>
      <c r="I229" s="68"/>
      <c r="J229" s="68"/>
      <c r="K229" s="68"/>
      <c r="L229" s="68"/>
      <c r="M229" s="68"/>
    </row>
    <row r="230" spans="1:13" x14ac:dyDescent="0.2">
      <c r="A230" s="68"/>
      <c r="B230" s="68"/>
      <c r="C230" s="68"/>
      <c r="D230" s="295"/>
      <c r="E230" s="296"/>
      <c r="F230" s="296"/>
      <c r="G230" s="295"/>
      <c r="H230" s="68"/>
      <c r="I230" s="68"/>
      <c r="J230" s="68"/>
      <c r="K230" s="68"/>
      <c r="L230" s="68"/>
      <c r="M230" s="68"/>
    </row>
    <row r="231" spans="1:13" x14ac:dyDescent="0.2">
      <c r="A231" s="68"/>
      <c r="B231" s="68"/>
      <c r="C231" s="68"/>
      <c r="D231" s="295"/>
      <c r="E231" s="295"/>
      <c r="F231" s="295"/>
      <c r="G231" s="295"/>
      <c r="H231" s="68"/>
      <c r="I231" s="68"/>
      <c r="J231" s="68"/>
      <c r="K231" s="68"/>
      <c r="L231" s="68"/>
      <c r="M231" s="68"/>
    </row>
    <row r="232" spans="1:13" x14ac:dyDescent="0.2">
      <c r="A232" s="68"/>
      <c r="B232" s="68"/>
      <c r="C232" s="68"/>
      <c r="D232" s="295"/>
      <c r="E232" s="296"/>
      <c r="F232" s="296"/>
      <c r="G232" s="295"/>
      <c r="H232" s="68"/>
      <c r="I232" s="68"/>
      <c r="J232" s="68"/>
      <c r="K232" s="68"/>
      <c r="L232" s="68"/>
      <c r="M232" s="68"/>
    </row>
    <row r="233" spans="1:13" x14ac:dyDescent="0.2">
      <c r="A233" s="68"/>
      <c r="B233" s="68"/>
      <c r="C233" s="68"/>
      <c r="D233" s="295"/>
      <c r="E233" s="295"/>
      <c r="F233" s="295"/>
      <c r="G233" s="295"/>
      <c r="H233" s="68"/>
      <c r="I233" s="68"/>
      <c r="J233" s="68"/>
      <c r="K233" s="68"/>
      <c r="L233" s="68"/>
      <c r="M233" s="68"/>
    </row>
    <row r="234" spans="1:13" x14ac:dyDescent="0.2">
      <c r="A234" s="68"/>
      <c r="B234" s="68"/>
      <c r="C234" s="68"/>
      <c r="D234" s="295"/>
      <c r="E234" s="296"/>
      <c r="F234" s="296"/>
      <c r="G234" s="295"/>
      <c r="H234" s="68"/>
      <c r="I234" s="68"/>
      <c r="J234" s="68"/>
      <c r="K234" s="68"/>
      <c r="L234" s="68"/>
      <c r="M234" s="68"/>
    </row>
    <row r="235" spans="1:13" x14ac:dyDescent="0.2">
      <c r="A235" s="68"/>
      <c r="B235" s="68"/>
      <c r="C235" s="68"/>
      <c r="D235" s="295"/>
      <c r="E235" s="295"/>
      <c r="F235" s="295"/>
      <c r="G235" s="295"/>
      <c r="H235" s="68"/>
      <c r="I235" s="68"/>
      <c r="J235" s="68"/>
      <c r="K235" s="68"/>
      <c r="L235" s="68"/>
      <c r="M235" s="68"/>
    </row>
    <row r="236" spans="1:13" x14ac:dyDescent="0.2">
      <c r="A236" s="68"/>
      <c r="B236" s="68"/>
      <c r="C236" s="68"/>
      <c r="D236" s="295"/>
      <c r="E236" s="296"/>
      <c r="F236" s="296"/>
      <c r="G236" s="295"/>
      <c r="H236" s="68"/>
      <c r="I236" s="68"/>
      <c r="J236" s="68"/>
      <c r="K236" s="68"/>
      <c r="L236" s="68"/>
      <c r="M236" s="68"/>
    </row>
    <row r="237" spans="1:13" x14ac:dyDescent="0.2">
      <c r="A237" s="68"/>
      <c r="B237" s="68"/>
      <c r="C237" s="68"/>
      <c r="D237" s="295"/>
      <c r="E237" s="295"/>
      <c r="F237" s="295"/>
      <c r="G237" s="295"/>
      <c r="H237" s="68"/>
      <c r="I237" s="68"/>
      <c r="J237" s="68"/>
      <c r="K237" s="68"/>
      <c r="L237" s="68"/>
      <c r="M237" s="68"/>
    </row>
    <row r="238" spans="1:13" x14ac:dyDescent="0.2">
      <c r="A238" s="68"/>
      <c r="B238" s="68"/>
      <c r="C238" s="68"/>
      <c r="D238" s="295"/>
      <c r="E238" s="296"/>
      <c r="F238" s="296"/>
      <c r="G238" s="295"/>
      <c r="H238" s="68"/>
      <c r="I238" s="68"/>
      <c r="J238" s="68"/>
      <c r="K238" s="68"/>
      <c r="L238" s="68"/>
      <c r="M238" s="68"/>
    </row>
    <row r="239" spans="1:13" x14ac:dyDescent="0.2">
      <c r="A239" s="68"/>
      <c r="B239" s="68"/>
      <c r="C239" s="68"/>
      <c r="D239" s="295"/>
      <c r="E239" s="295"/>
      <c r="F239" s="295"/>
      <c r="G239" s="295"/>
      <c r="H239" s="68"/>
      <c r="I239" s="68"/>
      <c r="J239" s="68"/>
      <c r="K239" s="68"/>
      <c r="L239" s="68"/>
      <c r="M239" s="68"/>
    </row>
    <row r="240" spans="1:13" x14ac:dyDescent="0.2">
      <c r="A240" s="68"/>
      <c r="B240" s="68"/>
      <c r="C240" s="68"/>
      <c r="D240" s="295"/>
      <c r="E240" s="296"/>
      <c r="F240" s="296"/>
      <c r="G240" s="295"/>
      <c r="H240" s="68"/>
      <c r="I240" s="68"/>
      <c r="J240" s="68"/>
      <c r="K240" s="68"/>
      <c r="L240" s="68"/>
      <c r="M240" s="68"/>
    </row>
    <row r="241" spans="1:13" x14ac:dyDescent="0.2">
      <c r="A241" s="68"/>
      <c r="B241" s="68"/>
      <c r="C241" s="68"/>
      <c r="D241" s="295"/>
      <c r="E241" s="295"/>
      <c r="F241" s="295"/>
      <c r="G241" s="295"/>
      <c r="H241" s="68"/>
      <c r="I241" s="68"/>
      <c r="J241" s="68"/>
      <c r="K241" s="68"/>
      <c r="L241" s="68"/>
      <c r="M241" s="68"/>
    </row>
    <row r="242" spans="1:13" x14ac:dyDescent="0.2">
      <c r="A242" s="68"/>
      <c r="B242" s="68"/>
      <c r="C242" s="68"/>
      <c r="D242" s="295"/>
      <c r="E242" s="296"/>
      <c r="F242" s="296"/>
      <c r="G242" s="295"/>
      <c r="H242" s="68"/>
      <c r="I242" s="68"/>
      <c r="J242" s="68"/>
      <c r="K242" s="68"/>
      <c r="L242" s="68"/>
      <c r="M242" s="68"/>
    </row>
    <row r="243" spans="1:13" x14ac:dyDescent="0.2">
      <c r="A243" s="68"/>
      <c r="B243" s="68"/>
      <c r="C243" s="68"/>
      <c r="D243" s="295"/>
      <c r="E243" s="295"/>
      <c r="F243" s="295"/>
      <c r="G243" s="295"/>
      <c r="H243" s="68"/>
      <c r="I243" s="68"/>
      <c r="J243" s="68"/>
      <c r="K243" s="68"/>
      <c r="L243" s="68"/>
      <c r="M243" s="68"/>
    </row>
    <row r="244" spans="1:13" x14ac:dyDescent="0.2">
      <c r="A244" s="68"/>
      <c r="B244" s="68"/>
      <c r="C244" s="68"/>
      <c r="D244" s="295"/>
      <c r="E244" s="296"/>
      <c r="F244" s="296"/>
      <c r="G244" s="295"/>
      <c r="H244" s="68"/>
      <c r="I244" s="68"/>
      <c r="J244" s="68"/>
      <c r="K244" s="68"/>
      <c r="L244" s="68"/>
      <c r="M244" s="68"/>
    </row>
    <row r="245" spans="1:13" x14ac:dyDescent="0.2">
      <c r="A245" s="68"/>
      <c r="B245" s="68"/>
      <c r="C245" s="68"/>
      <c r="D245" s="295"/>
      <c r="E245" s="295"/>
      <c r="F245" s="295"/>
      <c r="G245" s="295"/>
      <c r="H245" s="68"/>
      <c r="I245" s="68"/>
      <c r="J245" s="68"/>
      <c r="K245" s="68"/>
      <c r="L245" s="68"/>
      <c r="M245" s="68"/>
    </row>
    <row r="246" spans="1:13" x14ac:dyDescent="0.2">
      <c r="A246" s="68"/>
      <c r="B246" s="68"/>
      <c r="C246" s="68"/>
      <c r="D246" s="295"/>
      <c r="E246" s="296"/>
      <c r="F246" s="296"/>
      <c r="G246" s="295"/>
      <c r="H246" s="68"/>
      <c r="I246" s="68"/>
      <c r="J246" s="68"/>
      <c r="K246" s="68"/>
      <c r="L246" s="68"/>
      <c r="M246" s="68"/>
    </row>
    <row r="247" spans="1:13" x14ac:dyDescent="0.2">
      <c r="A247" s="68"/>
      <c r="B247" s="68"/>
      <c r="C247" s="68"/>
      <c r="D247" s="295"/>
      <c r="E247" s="295"/>
      <c r="F247" s="295"/>
      <c r="G247" s="295"/>
      <c r="H247" s="68"/>
      <c r="I247" s="68"/>
      <c r="J247" s="68"/>
      <c r="K247" s="68"/>
      <c r="L247" s="68"/>
      <c r="M247" s="68"/>
    </row>
    <row r="248" spans="1:13" x14ac:dyDescent="0.2">
      <c r="A248" s="68"/>
      <c r="B248" s="68"/>
      <c r="C248" s="68"/>
      <c r="D248" s="295"/>
      <c r="E248" s="296"/>
      <c r="F248" s="296"/>
      <c r="G248" s="295"/>
      <c r="H248" s="68"/>
      <c r="I248" s="68"/>
      <c r="J248" s="68"/>
      <c r="K248" s="68"/>
      <c r="L248" s="68"/>
      <c r="M248" s="68"/>
    </row>
    <row r="249" spans="1:13" x14ac:dyDescent="0.2">
      <c r="A249" s="68"/>
      <c r="B249" s="68"/>
      <c r="C249" s="68"/>
      <c r="D249" s="295"/>
      <c r="E249" s="295"/>
      <c r="F249" s="295"/>
      <c r="G249" s="295"/>
      <c r="H249" s="68"/>
      <c r="I249" s="68"/>
      <c r="J249" s="68"/>
      <c r="K249" s="68"/>
      <c r="L249" s="68"/>
      <c r="M249" s="68"/>
    </row>
    <row r="250" spans="1:13" x14ac:dyDescent="0.2">
      <c r="A250" s="68"/>
      <c r="B250" s="68"/>
      <c r="C250" s="68"/>
      <c r="D250" s="295"/>
      <c r="E250" s="296"/>
      <c r="F250" s="296"/>
      <c r="G250" s="295"/>
      <c r="H250" s="68"/>
      <c r="I250" s="68"/>
      <c r="J250" s="68"/>
      <c r="K250" s="68"/>
      <c r="L250" s="68"/>
      <c r="M250" s="68"/>
    </row>
    <row r="251" spans="1:13" x14ac:dyDescent="0.2">
      <c r="A251" s="68"/>
      <c r="B251" s="68"/>
      <c r="C251" s="68"/>
      <c r="D251" s="295"/>
      <c r="E251" s="295"/>
      <c r="F251" s="295"/>
      <c r="G251" s="295"/>
      <c r="H251" s="68"/>
      <c r="I251" s="68"/>
      <c r="J251" s="68"/>
      <c r="K251" s="68"/>
      <c r="L251" s="68"/>
      <c r="M251" s="68"/>
    </row>
    <row r="252" spans="1:13" x14ac:dyDescent="0.2">
      <c r="A252" s="68"/>
      <c r="B252" s="68"/>
      <c r="C252" s="68"/>
      <c r="D252" s="295"/>
      <c r="E252" s="296"/>
      <c r="F252" s="296"/>
      <c r="G252" s="295"/>
      <c r="H252" s="68"/>
      <c r="I252" s="68"/>
      <c r="J252" s="68"/>
      <c r="K252" s="68"/>
      <c r="L252" s="68"/>
      <c r="M252" s="68"/>
    </row>
    <row r="253" spans="1:13" x14ac:dyDescent="0.2">
      <c r="A253" s="68"/>
      <c r="B253" s="68"/>
      <c r="C253" s="68"/>
      <c r="D253" s="295"/>
      <c r="E253" s="295"/>
      <c r="F253" s="295"/>
      <c r="G253" s="295"/>
      <c r="H253" s="68"/>
      <c r="I253" s="68"/>
      <c r="J253" s="68"/>
      <c r="K253" s="68"/>
      <c r="L253" s="68"/>
      <c r="M253" s="68"/>
    </row>
    <row r="254" spans="1:13" x14ac:dyDescent="0.2">
      <c r="A254" s="68"/>
      <c r="B254" s="68"/>
      <c r="C254" s="68"/>
      <c r="D254" s="295"/>
      <c r="E254" s="296"/>
      <c r="F254" s="296"/>
      <c r="G254" s="295"/>
      <c r="H254" s="68"/>
      <c r="I254" s="68"/>
      <c r="J254" s="68"/>
      <c r="K254" s="68"/>
      <c r="L254" s="68"/>
      <c r="M254" s="68"/>
    </row>
    <row r="255" spans="1:13" x14ac:dyDescent="0.2">
      <c r="A255" s="68"/>
      <c r="B255" s="68"/>
      <c r="C255" s="68"/>
      <c r="D255" s="295"/>
      <c r="E255" s="295"/>
      <c r="F255" s="295"/>
      <c r="G255" s="295"/>
      <c r="H255" s="68"/>
      <c r="I255" s="68"/>
      <c r="J255" s="68"/>
      <c r="K255" s="68"/>
      <c r="L255" s="68"/>
      <c r="M255" s="68"/>
    </row>
    <row r="256" spans="1:13" x14ac:dyDescent="0.2">
      <c r="A256" s="68"/>
      <c r="B256" s="68"/>
      <c r="C256" s="68"/>
      <c r="D256" s="295"/>
      <c r="E256" s="296"/>
      <c r="F256" s="296"/>
      <c r="G256" s="295"/>
      <c r="H256" s="68"/>
      <c r="I256" s="68"/>
      <c r="J256" s="68"/>
      <c r="K256" s="68"/>
      <c r="L256" s="68"/>
      <c r="M256" s="68"/>
    </row>
    <row r="257" spans="1:13" x14ac:dyDescent="0.2">
      <c r="A257" s="68"/>
      <c r="B257" s="68"/>
      <c r="C257" s="68"/>
      <c r="D257" s="295"/>
      <c r="E257" s="295"/>
      <c r="F257" s="295"/>
      <c r="G257" s="295"/>
      <c r="H257" s="68"/>
      <c r="I257" s="68"/>
      <c r="J257" s="68"/>
      <c r="K257" s="68"/>
      <c r="L257" s="68"/>
      <c r="M257" s="68"/>
    </row>
    <row r="258" spans="1:13" x14ac:dyDescent="0.2">
      <c r="A258" s="68"/>
      <c r="B258" s="68"/>
      <c r="C258" s="68"/>
      <c r="D258" s="295"/>
      <c r="E258" s="296"/>
      <c r="F258" s="296"/>
      <c r="G258" s="295"/>
      <c r="H258" s="68"/>
      <c r="I258" s="68"/>
      <c r="J258" s="68"/>
      <c r="K258" s="68"/>
      <c r="L258" s="68"/>
      <c r="M258" s="68"/>
    </row>
    <row r="259" spans="1:13" x14ac:dyDescent="0.2">
      <c r="A259" s="68"/>
      <c r="B259" s="68"/>
      <c r="C259" s="68"/>
      <c r="D259" s="295"/>
      <c r="E259" s="295"/>
      <c r="F259" s="295"/>
      <c r="G259" s="295"/>
      <c r="H259" s="68"/>
      <c r="I259" s="68"/>
      <c r="J259" s="68"/>
      <c r="K259" s="68"/>
      <c r="L259" s="68"/>
      <c r="M259" s="68"/>
    </row>
    <row r="260" spans="1:13" x14ac:dyDescent="0.2">
      <c r="A260" s="68"/>
      <c r="B260" s="68"/>
      <c r="C260" s="68"/>
      <c r="D260" s="295"/>
      <c r="E260" s="296"/>
      <c r="F260" s="296"/>
      <c r="G260" s="295"/>
      <c r="H260" s="68"/>
      <c r="I260" s="68"/>
      <c r="J260" s="68"/>
      <c r="K260" s="68"/>
      <c r="L260" s="68"/>
      <c r="M260" s="68"/>
    </row>
    <row r="261" spans="1:13" x14ac:dyDescent="0.2">
      <c r="A261" s="68"/>
      <c r="B261" s="68"/>
      <c r="C261" s="68"/>
      <c r="D261" s="295"/>
      <c r="E261" s="295"/>
      <c r="F261" s="295"/>
      <c r="G261" s="295"/>
      <c r="H261" s="68"/>
      <c r="I261" s="68"/>
      <c r="J261" s="68"/>
      <c r="K261" s="68"/>
      <c r="L261" s="68"/>
      <c r="M261" s="68"/>
    </row>
    <row r="262" spans="1:13" x14ac:dyDescent="0.2">
      <c r="A262" s="68"/>
      <c r="B262" s="68"/>
      <c r="C262" s="68"/>
      <c r="D262" s="295"/>
      <c r="E262" s="296"/>
      <c r="F262" s="296"/>
      <c r="G262" s="295"/>
      <c r="H262" s="68"/>
      <c r="I262" s="68"/>
      <c r="J262" s="68"/>
      <c r="K262" s="68"/>
      <c r="L262" s="68"/>
      <c r="M262" s="68"/>
    </row>
    <row r="263" spans="1:13" x14ac:dyDescent="0.2">
      <c r="A263" s="68"/>
      <c r="B263" s="68"/>
      <c r="C263" s="68"/>
      <c r="D263" s="295"/>
      <c r="E263" s="295"/>
      <c r="F263" s="295"/>
      <c r="G263" s="295"/>
      <c r="H263" s="68"/>
      <c r="I263" s="68"/>
      <c r="J263" s="68"/>
      <c r="K263" s="68"/>
      <c r="L263" s="68"/>
      <c r="M263" s="68"/>
    </row>
  </sheetData>
  <sheetProtection sheet="1" objects="1" scenarios="1" selectLockedCells="1"/>
  <mergeCells count="5">
    <mergeCell ref="A36:F36"/>
    <mergeCell ref="A1:H1"/>
    <mergeCell ref="A21:D21"/>
    <mergeCell ref="A35:D35"/>
    <mergeCell ref="A22:F22"/>
  </mergeCells>
  <phoneticPr fontId="18" type="noConversion"/>
  <conditionalFormatting sqref="H4:H9 D9:G9 D7:G7 D5:G5">
    <cfRule type="expression" dxfId="36" priority="1" stopIfTrue="1">
      <formula>"e2=true"</formula>
    </cfRule>
  </conditionalFormatting>
  <conditionalFormatting sqref="G6 E6 E8 G8">
    <cfRule type="expression" dxfId="35" priority="2" stopIfTrue="1">
      <formula>$E$2=TRUE</formula>
    </cfRule>
    <cfRule type="expression" dxfId="34" priority="3" stopIfTrue="1">
      <formula>$E$3=TRUE</formula>
    </cfRule>
  </conditionalFormatting>
  <conditionalFormatting sqref="D4:F4 D6 F6 D8 F8">
    <cfRule type="expression" dxfId="33" priority="4" stopIfTrue="1">
      <formula>$E$2=TRUE</formula>
    </cfRule>
    <cfRule type="expression" dxfId="32" priority="5" stopIfTrue="1">
      <formula>$E$3=TRUE</formula>
    </cfRule>
  </conditionalFormatting>
  <dataValidations count="2">
    <dataValidation type="list" allowBlank="1" showInputMessage="1" showErrorMessage="1" sqref="B15 B29">
      <formula1>$B$92:$B$92</formula1>
    </dataValidation>
    <dataValidation type="list" allowBlank="1" showInputMessage="1" showErrorMessage="1" sqref="B14 B28">
      <formula1>$B$92:$B$93</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15379" r:id="rId4" name="CommandButton2">
          <controlPr autoLine="0" r:id="rId5">
            <anchor moveWithCells="1">
              <from>
                <xdr:col>6</xdr:col>
                <xdr:colOff>85725</xdr:colOff>
                <xdr:row>11</xdr:row>
                <xdr:rowOff>95250</xdr:rowOff>
              </from>
              <to>
                <xdr:col>8</xdr:col>
                <xdr:colOff>361950</xdr:colOff>
                <xdr:row>16</xdr:row>
                <xdr:rowOff>9525</xdr:rowOff>
              </to>
            </anchor>
          </controlPr>
        </control>
      </mc:Choice>
      <mc:Fallback>
        <control shapeId="15379" r:id="rId4" name="CommandButton2"/>
      </mc:Fallback>
    </mc:AlternateContent>
    <mc:AlternateContent xmlns:mc="http://schemas.openxmlformats.org/markup-compatibility/2006">
      <mc:Choice Requires="x14">
        <control shapeId="15378" r:id="rId6" name="CommandButton1">
          <controlPr defaultSize="0" autoLine="0" r:id="rId7">
            <anchor moveWithCells="1">
              <from>
                <xdr:col>6</xdr:col>
                <xdr:colOff>95250</xdr:colOff>
                <xdr:row>16</xdr:row>
                <xdr:rowOff>142875</xdr:rowOff>
              </from>
              <to>
                <xdr:col>8</xdr:col>
                <xdr:colOff>361950</xdr:colOff>
                <xdr:row>19</xdr:row>
                <xdr:rowOff>142875</xdr:rowOff>
              </to>
            </anchor>
          </controlPr>
        </control>
      </mc:Choice>
      <mc:Fallback>
        <control shapeId="15378" r:id="rId6" name="CommandButton1"/>
      </mc:Fallback>
    </mc:AlternateContent>
    <mc:AlternateContent xmlns:mc="http://schemas.openxmlformats.org/markup-compatibility/2006">
      <mc:Choice Requires="x14">
        <control shapeId="15362" r:id="rId8" name="CheckBox2">
          <controlPr autoLine="0" linkedCell="E3" r:id="rId9">
            <anchor moveWithCells="1">
              <from>
                <xdr:col>0</xdr:col>
                <xdr:colOff>180975</xdr:colOff>
                <xdr:row>4</xdr:row>
                <xdr:rowOff>28575</xdr:rowOff>
              </from>
              <to>
                <xdr:col>0</xdr:col>
                <xdr:colOff>2657475</xdr:colOff>
                <xdr:row>7</xdr:row>
                <xdr:rowOff>76200</xdr:rowOff>
              </to>
            </anchor>
          </controlPr>
        </control>
      </mc:Choice>
      <mc:Fallback>
        <control shapeId="15362" r:id="rId8" name="CheckBox2"/>
      </mc:Fallback>
    </mc:AlternateContent>
    <mc:AlternateContent xmlns:mc="http://schemas.openxmlformats.org/markup-compatibility/2006">
      <mc:Choice Requires="x14">
        <control shapeId="15361" r:id="rId10" name="CheckBox1">
          <controlPr autoLine="0" linkedCell="E2" r:id="rId11">
            <anchor moveWithCells="1">
              <from>
                <xdr:col>0</xdr:col>
                <xdr:colOff>180975</xdr:colOff>
                <xdr:row>1</xdr:row>
                <xdr:rowOff>85725</xdr:rowOff>
              </from>
              <to>
                <xdr:col>0</xdr:col>
                <xdr:colOff>2657475</xdr:colOff>
                <xdr:row>4</xdr:row>
                <xdr:rowOff>133350</xdr:rowOff>
              </to>
            </anchor>
          </controlPr>
        </control>
      </mc:Choice>
      <mc:Fallback>
        <control shapeId="15361" r:id="rId10" name="CheckBox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O56"/>
  <sheetViews>
    <sheetView showGridLines="0" showRowColHeaders="0" workbookViewId="0">
      <selection activeCell="B10" sqref="B10"/>
    </sheetView>
  </sheetViews>
  <sheetFormatPr defaultRowHeight="12.75" x14ac:dyDescent="0.2"/>
  <cols>
    <col min="1" max="1" width="1" customWidth="1"/>
    <col min="2" max="3" width="13.5703125" customWidth="1"/>
    <col min="4" max="4" width="10.85546875" bestFit="1" customWidth="1"/>
    <col min="5" max="5" width="15" bestFit="1" customWidth="1"/>
    <col min="6" max="6" width="13.85546875" customWidth="1"/>
    <col min="7" max="7" width="10.28515625" customWidth="1"/>
    <col min="8" max="8" width="15.42578125" customWidth="1"/>
    <col min="9" max="9" width="11.5703125" customWidth="1"/>
    <col min="10" max="10" width="9.85546875" customWidth="1"/>
    <col min="11" max="11" width="13.140625" customWidth="1"/>
  </cols>
  <sheetData>
    <row r="1" spans="1:15" ht="91.5" customHeight="1" x14ac:dyDescent="0.2">
      <c r="A1" s="257"/>
      <c r="B1" s="257"/>
      <c r="C1" s="257"/>
      <c r="D1" s="257"/>
      <c r="E1" s="257"/>
      <c r="F1" s="257"/>
      <c r="G1" s="257"/>
      <c r="H1" s="257"/>
      <c r="I1" s="257"/>
      <c r="J1" s="257"/>
      <c r="K1" s="257"/>
      <c r="L1" s="257"/>
      <c r="M1" s="257"/>
      <c r="N1" s="257"/>
      <c r="O1" s="257"/>
    </row>
    <row r="2" spans="1:15" s="173" customFormat="1" ht="39" customHeight="1" x14ac:dyDescent="0.2">
      <c r="A2" s="271"/>
      <c r="B2" s="302" t="s">
        <v>55</v>
      </c>
      <c r="C2" s="302" t="s">
        <v>526</v>
      </c>
      <c r="D2" s="302" t="s">
        <v>473</v>
      </c>
      <c r="E2" s="302" t="s">
        <v>394</v>
      </c>
      <c r="F2" s="302" t="s">
        <v>544</v>
      </c>
      <c r="G2" s="302" t="s">
        <v>395</v>
      </c>
      <c r="H2" s="302" t="s">
        <v>551</v>
      </c>
      <c r="I2" s="302" t="s">
        <v>396</v>
      </c>
      <c r="J2" s="302" t="s">
        <v>397</v>
      </c>
      <c r="K2" s="302" t="s">
        <v>398</v>
      </c>
      <c r="L2" s="271"/>
      <c r="M2" s="271"/>
      <c r="N2" s="271"/>
      <c r="O2" s="271"/>
    </row>
    <row r="3" spans="1:15" ht="25.5" x14ac:dyDescent="0.2">
      <c r="A3" s="257"/>
      <c r="B3" s="206" t="s">
        <v>399</v>
      </c>
      <c r="C3" s="300" t="s">
        <v>513</v>
      </c>
      <c r="D3" s="206" t="s">
        <v>419</v>
      </c>
      <c r="E3" s="206" t="s">
        <v>400</v>
      </c>
      <c r="F3" s="206" t="s">
        <v>570</v>
      </c>
      <c r="G3" s="206" t="s">
        <v>349</v>
      </c>
      <c r="H3" s="206" t="s">
        <v>472</v>
      </c>
      <c r="I3" s="206" t="s">
        <v>545</v>
      </c>
      <c r="J3" s="206" t="s">
        <v>404</v>
      </c>
      <c r="K3" s="206" t="s">
        <v>403</v>
      </c>
      <c r="L3" s="257"/>
      <c r="M3" s="257"/>
      <c r="N3" s="257"/>
      <c r="O3" s="257"/>
    </row>
    <row r="4" spans="1:15" ht="51" x14ac:dyDescent="0.2">
      <c r="A4" s="257"/>
      <c r="B4" s="206" t="s">
        <v>390</v>
      </c>
      <c r="C4" s="300" t="s">
        <v>514</v>
      </c>
      <c r="D4" s="206" t="s">
        <v>419</v>
      </c>
      <c r="E4" s="206" t="s">
        <v>405</v>
      </c>
      <c r="F4" s="206" t="s">
        <v>570</v>
      </c>
      <c r="G4" s="206" t="s">
        <v>404</v>
      </c>
      <c r="H4" s="206" t="s">
        <v>546</v>
      </c>
      <c r="I4" s="206" t="s">
        <v>446</v>
      </c>
      <c r="J4" s="206" t="s">
        <v>406</v>
      </c>
      <c r="K4" s="206" t="s">
        <v>407</v>
      </c>
      <c r="L4" s="257"/>
      <c r="M4" s="257"/>
      <c r="N4" s="257"/>
      <c r="O4" s="257"/>
    </row>
    <row r="5" spans="1:15" ht="89.25" x14ac:dyDescent="0.2">
      <c r="A5" s="257"/>
      <c r="B5" s="206" t="s">
        <v>408</v>
      </c>
      <c r="C5" s="300" t="s">
        <v>515</v>
      </c>
      <c r="D5" s="206" t="s">
        <v>419</v>
      </c>
      <c r="E5" s="206" t="s">
        <v>409</v>
      </c>
      <c r="F5" s="206" t="s">
        <v>571</v>
      </c>
      <c r="G5" s="206" t="s">
        <v>422</v>
      </c>
      <c r="H5" s="206" t="s">
        <v>547</v>
      </c>
      <c r="I5" s="206" t="s">
        <v>572</v>
      </c>
      <c r="J5" s="206" t="s">
        <v>573</v>
      </c>
      <c r="K5" s="206" t="s">
        <v>411</v>
      </c>
      <c r="L5" s="257"/>
      <c r="M5" s="257"/>
      <c r="N5" s="257"/>
      <c r="O5" s="257"/>
    </row>
    <row r="6" spans="1:15" ht="51" x14ac:dyDescent="0.2">
      <c r="A6" s="257"/>
      <c r="B6" s="206" t="s">
        <v>412</v>
      </c>
      <c r="C6" s="323" t="s">
        <v>574</v>
      </c>
      <c r="D6" s="206" t="s">
        <v>419</v>
      </c>
      <c r="E6" s="206" t="s">
        <v>413</v>
      </c>
      <c r="F6" s="206" t="s">
        <v>570</v>
      </c>
      <c r="G6" s="206" t="s">
        <v>404</v>
      </c>
      <c r="H6" s="206" t="s">
        <v>436</v>
      </c>
      <c r="I6" s="206" t="s">
        <v>414</v>
      </c>
      <c r="J6" s="206" t="s">
        <v>575</v>
      </c>
      <c r="K6" s="206" t="s">
        <v>389</v>
      </c>
      <c r="L6" s="257"/>
      <c r="M6" s="257"/>
      <c r="N6" s="257"/>
      <c r="O6" s="257"/>
    </row>
    <row r="7" spans="1:15" ht="38.25" x14ac:dyDescent="0.2">
      <c r="A7" s="257">
        <v>5</v>
      </c>
      <c r="B7" s="206" t="s">
        <v>476</v>
      </c>
      <c r="C7" s="300" t="s">
        <v>516</v>
      </c>
      <c r="D7" s="206" t="s">
        <v>419</v>
      </c>
      <c r="E7" s="206" t="s">
        <v>415</v>
      </c>
      <c r="F7" s="206" t="s">
        <v>404</v>
      </c>
      <c r="G7" s="206" t="s">
        <v>404</v>
      </c>
      <c r="H7" s="206" t="s">
        <v>472</v>
      </c>
      <c r="I7" s="206" t="s">
        <v>416</v>
      </c>
      <c r="J7" s="206" t="s">
        <v>404</v>
      </c>
      <c r="K7" s="206" t="s">
        <v>576</v>
      </c>
      <c r="L7" s="257"/>
      <c r="M7" s="257"/>
      <c r="N7" s="257"/>
      <c r="O7" s="257"/>
    </row>
    <row r="8" spans="1:15" ht="63.75" x14ac:dyDescent="0.2">
      <c r="A8" s="257"/>
      <c r="B8" s="206" t="s">
        <v>393</v>
      </c>
      <c r="C8" s="300" t="s">
        <v>517</v>
      </c>
      <c r="D8" s="206" t="s">
        <v>419</v>
      </c>
      <c r="E8" s="206" t="s">
        <v>413</v>
      </c>
      <c r="F8" s="206" t="s">
        <v>311</v>
      </c>
      <c r="G8" s="206" t="s">
        <v>404</v>
      </c>
      <c r="H8" s="206" t="s">
        <v>548</v>
      </c>
      <c r="I8" s="206" t="s">
        <v>417</v>
      </c>
      <c r="J8" s="206" t="s">
        <v>577</v>
      </c>
      <c r="K8" s="206" t="s">
        <v>578</v>
      </c>
      <c r="L8" s="257"/>
      <c r="M8" s="257"/>
      <c r="N8" s="257"/>
      <c r="O8" s="257"/>
    </row>
    <row r="9" spans="1:15" ht="38.25" x14ac:dyDescent="0.2">
      <c r="A9" s="257"/>
      <c r="B9" s="206" t="s">
        <v>475</v>
      </c>
      <c r="C9" s="300" t="s">
        <v>518</v>
      </c>
      <c r="D9" s="206" t="s">
        <v>419</v>
      </c>
      <c r="E9" s="206" t="s">
        <v>579</v>
      </c>
      <c r="F9" s="206" t="s">
        <v>570</v>
      </c>
      <c r="G9" s="206" t="s">
        <v>349</v>
      </c>
      <c r="H9" s="206" t="s">
        <v>580</v>
      </c>
      <c r="I9" s="206" t="s">
        <v>426</v>
      </c>
      <c r="J9" s="206" t="s">
        <v>406</v>
      </c>
      <c r="K9" s="206" t="s">
        <v>581</v>
      </c>
      <c r="L9" s="257"/>
      <c r="M9" s="257"/>
      <c r="N9" s="257"/>
      <c r="O9" s="257"/>
    </row>
    <row r="10" spans="1:15" x14ac:dyDescent="0.2">
      <c r="A10" s="257"/>
      <c r="B10" s="206" t="s">
        <v>611</v>
      </c>
      <c r="C10" s="300" t="s">
        <v>519</v>
      </c>
      <c r="D10" s="206" t="s">
        <v>420</v>
      </c>
      <c r="E10" s="206" t="s">
        <v>413</v>
      </c>
      <c r="F10" s="206" t="s">
        <v>401</v>
      </c>
      <c r="G10" s="206" t="s">
        <v>402</v>
      </c>
      <c r="H10" s="206" t="s">
        <v>425</v>
      </c>
      <c r="I10" s="206" t="s">
        <v>474</v>
      </c>
      <c r="J10" s="206" t="s">
        <v>422</v>
      </c>
      <c r="K10" s="206" t="s">
        <v>389</v>
      </c>
      <c r="L10" s="257"/>
      <c r="M10" s="257"/>
      <c r="N10" s="257"/>
      <c r="O10" s="257"/>
    </row>
    <row r="11" spans="1:15" ht="51" x14ac:dyDescent="0.2">
      <c r="A11" s="257"/>
      <c r="B11" s="206" t="s">
        <v>424</v>
      </c>
      <c r="C11" s="300" t="s">
        <v>520</v>
      </c>
      <c r="D11" s="206" t="s">
        <v>420</v>
      </c>
      <c r="E11" s="206" t="s">
        <v>413</v>
      </c>
      <c r="F11" s="206" t="s">
        <v>349</v>
      </c>
      <c r="G11" s="206" t="s">
        <v>404</v>
      </c>
      <c r="H11" s="206" t="s">
        <v>582</v>
      </c>
      <c r="I11" s="206" t="s">
        <v>583</v>
      </c>
      <c r="J11" s="206" t="s">
        <v>404</v>
      </c>
      <c r="K11" s="206" t="s">
        <v>423</v>
      </c>
      <c r="L11" s="257"/>
      <c r="M11" s="257"/>
      <c r="N11" s="257"/>
      <c r="O11" s="257"/>
    </row>
    <row r="12" spans="1:15" ht="25.5" x14ac:dyDescent="0.2">
      <c r="A12" s="257"/>
      <c r="B12" s="206" t="s">
        <v>427</v>
      </c>
      <c r="C12" s="300" t="s">
        <v>521</v>
      </c>
      <c r="D12" s="206" t="s">
        <v>420</v>
      </c>
      <c r="E12" s="206" t="s">
        <v>584</v>
      </c>
      <c r="F12" s="206" t="s">
        <v>401</v>
      </c>
      <c r="G12" s="206" t="s">
        <v>404</v>
      </c>
      <c r="H12" s="206" t="s">
        <v>585</v>
      </c>
      <c r="I12" s="206" t="s">
        <v>426</v>
      </c>
      <c r="J12" s="206" t="s">
        <v>406</v>
      </c>
      <c r="K12" s="206" t="s">
        <v>431</v>
      </c>
      <c r="L12" s="257"/>
      <c r="M12" s="257"/>
      <c r="N12" s="257"/>
      <c r="O12" s="257"/>
    </row>
    <row r="13" spans="1:15" ht="51" x14ac:dyDescent="0.2">
      <c r="A13" s="257"/>
      <c r="B13" s="206" t="s">
        <v>610</v>
      </c>
      <c r="C13" s="300" t="s">
        <v>519</v>
      </c>
      <c r="D13" s="206" t="s">
        <v>420</v>
      </c>
      <c r="E13" s="206" t="s">
        <v>415</v>
      </c>
      <c r="F13" s="206" t="s">
        <v>401</v>
      </c>
      <c r="G13" s="206" t="s">
        <v>404</v>
      </c>
      <c r="H13" s="206" t="s">
        <v>421</v>
      </c>
      <c r="I13" s="206" t="s">
        <v>447</v>
      </c>
      <c r="J13" s="206" t="s">
        <v>349</v>
      </c>
      <c r="K13" s="206" t="s">
        <v>431</v>
      </c>
      <c r="L13" s="257"/>
      <c r="M13" s="257"/>
      <c r="N13" s="257"/>
      <c r="O13" s="257"/>
    </row>
    <row r="14" spans="1:15" ht="25.5" x14ac:dyDescent="0.2">
      <c r="A14" s="257"/>
      <c r="B14" s="206" t="s">
        <v>432</v>
      </c>
      <c r="C14" s="300" t="s">
        <v>522</v>
      </c>
      <c r="D14" s="206" t="s">
        <v>420</v>
      </c>
      <c r="E14" s="206" t="s">
        <v>413</v>
      </c>
      <c r="F14" s="206" t="s">
        <v>349</v>
      </c>
      <c r="G14" s="206" t="s">
        <v>402</v>
      </c>
      <c r="H14" s="206" t="s">
        <v>586</v>
      </c>
      <c r="I14" s="206" t="s">
        <v>580</v>
      </c>
      <c r="J14" s="206" t="s">
        <v>404</v>
      </c>
      <c r="K14" s="206" t="s">
        <v>431</v>
      </c>
      <c r="L14" s="257"/>
      <c r="M14" s="257"/>
      <c r="N14" s="257"/>
      <c r="O14" s="257"/>
    </row>
    <row r="15" spans="1:15" ht="38.25" x14ac:dyDescent="0.2">
      <c r="A15" s="257"/>
      <c r="B15" s="206" t="s">
        <v>477</v>
      </c>
      <c r="C15" s="300" t="s">
        <v>523</v>
      </c>
      <c r="D15" s="206" t="s">
        <v>420</v>
      </c>
      <c r="E15" s="206" t="s">
        <v>415</v>
      </c>
      <c r="F15" s="206" t="s">
        <v>401</v>
      </c>
      <c r="G15" s="206" t="s">
        <v>404</v>
      </c>
      <c r="H15" s="206" t="s">
        <v>433</v>
      </c>
      <c r="I15" s="206" t="s">
        <v>580</v>
      </c>
      <c r="J15" s="206" t="s">
        <v>349</v>
      </c>
      <c r="K15" s="206" t="s">
        <v>423</v>
      </c>
      <c r="L15" s="257"/>
      <c r="M15" s="257"/>
      <c r="N15" s="257"/>
      <c r="O15" s="257"/>
    </row>
    <row r="16" spans="1:15" ht="25.5" x14ac:dyDescent="0.2">
      <c r="A16" s="257"/>
      <c r="B16" s="206" t="s">
        <v>434</v>
      </c>
      <c r="C16" s="300" t="s">
        <v>524</v>
      </c>
      <c r="D16" s="206" t="s">
        <v>420</v>
      </c>
      <c r="E16" s="206" t="s">
        <v>413</v>
      </c>
      <c r="F16" s="206" t="s">
        <v>435</v>
      </c>
      <c r="G16" s="206" t="s">
        <v>404</v>
      </c>
      <c r="H16" s="206" t="s">
        <v>436</v>
      </c>
      <c r="I16" s="206" t="s">
        <v>437</v>
      </c>
      <c r="J16" s="206" t="s">
        <v>406</v>
      </c>
      <c r="K16" s="206" t="s">
        <v>423</v>
      </c>
      <c r="L16" s="257"/>
      <c r="M16" s="257"/>
      <c r="N16" s="257"/>
      <c r="O16" s="257"/>
    </row>
    <row r="17" spans="1:15" ht="38.25" x14ac:dyDescent="0.2">
      <c r="A17" s="257"/>
      <c r="B17" s="206" t="s">
        <v>441</v>
      </c>
      <c r="C17" s="300" t="s">
        <v>521</v>
      </c>
      <c r="D17" s="206" t="s">
        <v>420</v>
      </c>
      <c r="E17" s="206" t="s">
        <v>438</v>
      </c>
      <c r="F17" s="206" t="s">
        <v>570</v>
      </c>
      <c r="G17" s="206" t="s">
        <v>404</v>
      </c>
      <c r="H17" s="206" t="s">
        <v>474</v>
      </c>
      <c r="I17" s="206" t="s">
        <v>439</v>
      </c>
      <c r="J17" s="206" t="s">
        <v>406</v>
      </c>
      <c r="K17" s="206" t="s">
        <v>431</v>
      </c>
      <c r="L17" s="257"/>
      <c r="M17" s="257"/>
      <c r="N17" s="257"/>
      <c r="O17" s="257"/>
    </row>
    <row r="18" spans="1:15" ht="25.5" x14ac:dyDescent="0.2">
      <c r="A18" s="257"/>
      <c r="B18" s="206" t="s">
        <v>440</v>
      </c>
      <c r="C18" s="300" t="s">
        <v>525</v>
      </c>
      <c r="D18" s="206" t="s">
        <v>420</v>
      </c>
      <c r="E18" s="206" t="s">
        <v>415</v>
      </c>
      <c r="F18" s="206" t="s">
        <v>406</v>
      </c>
      <c r="G18" s="206" t="s">
        <v>404</v>
      </c>
      <c r="H18" s="206" t="s">
        <v>442</v>
      </c>
      <c r="I18" s="206" t="s">
        <v>426</v>
      </c>
      <c r="J18" s="206" t="s">
        <v>406</v>
      </c>
      <c r="K18" s="206" t="s">
        <v>423</v>
      </c>
      <c r="L18" s="257"/>
      <c r="M18" s="257"/>
      <c r="N18" s="257"/>
      <c r="O18" s="257"/>
    </row>
    <row r="19" spans="1:15" ht="51" x14ac:dyDescent="0.2">
      <c r="A19" s="257"/>
      <c r="B19" s="206" t="s">
        <v>443</v>
      </c>
      <c r="C19" s="300" t="s">
        <v>521</v>
      </c>
      <c r="D19" s="206" t="s">
        <v>420</v>
      </c>
      <c r="E19" s="206" t="s">
        <v>444</v>
      </c>
      <c r="F19" s="206" t="s">
        <v>401</v>
      </c>
      <c r="G19" s="206" t="s">
        <v>404</v>
      </c>
      <c r="H19" s="206" t="s">
        <v>445</v>
      </c>
      <c r="I19" s="206" t="s">
        <v>446</v>
      </c>
      <c r="J19" s="206" t="s">
        <v>349</v>
      </c>
      <c r="K19" s="206" t="s">
        <v>431</v>
      </c>
      <c r="L19" s="257"/>
      <c r="M19" s="257"/>
      <c r="N19" s="257"/>
      <c r="O19" s="257"/>
    </row>
    <row r="20" spans="1:15" ht="30" x14ac:dyDescent="0.25">
      <c r="A20" s="257"/>
      <c r="B20" s="206" t="s">
        <v>392</v>
      </c>
      <c r="C20" s="324" t="s">
        <v>587</v>
      </c>
      <c r="D20" s="206" t="s">
        <v>420</v>
      </c>
      <c r="E20" s="206" t="s">
        <v>413</v>
      </c>
      <c r="F20" s="206" t="s">
        <v>404</v>
      </c>
      <c r="G20" s="206" t="s">
        <v>404</v>
      </c>
      <c r="H20" s="206" t="s">
        <v>588</v>
      </c>
      <c r="I20" s="206" t="s">
        <v>589</v>
      </c>
      <c r="J20" s="206" t="s">
        <v>404</v>
      </c>
      <c r="K20" s="206" t="s">
        <v>389</v>
      </c>
      <c r="L20" s="257"/>
      <c r="M20" s="257"/>
      <c r="N20" s="257"/>
      <c r="O20" s="257"/>
    </row>
    <row r="21" spans="1:15" ht="51" x14ac:dyDescent="0.2">
      <c r="A21" s="257"/>
      <c r="B21" s="206" t="s">
        <v>608</v>
      </c>
      <c r="C21" s="300" t="s">
        <v>519</v>
      </c>
      <c r="D21" s="206" t="s">
        <v>420</v>
      </c>
      <c r="E21" s="206" t="s">
        <v>413</v>
      </c>
      <c r="F21" s="206" t="s">
        <v>401</v>
      </c>
      <c r="G21" s="206" t="s">
        <v>402</v>
      </c>
      <c r="H21" s="206" t="s">
        <v>421</v>
      </c>
      <c r="I21" s="206" t="s">
        <v>430</v>
      </c>
      <c r="J21" s="206" t="s">
        <v>406</v>
      </c>
      <c r="K21" s="206" t="s">
        <v>431</v>
      </c>
      <c r="L21" s="257"/>
      <c r="M21" s="257"/>
      <c r="N21" s="257"/>
      <c r="O21" s="257"/>
    </row>
    <row r="22" spans="1:15" ht="51" x14ac:dyDescent="0.2">
      <c r="A22" s="257"/>
      <c r="B22" s="206" t="s">
        <v>607</v>
      </c>
      <c r="C22" s="300" t="s">
        <v>519</v>
      </c>
      <c r="D22" s="206" t="s">
        <v>420</v>
      </c>
      <c r="E22" s="206" t="s">
        <v>415</v>
      </c>
      <c r="F22" s="206" t="s">
        <v>401</v>
      </c>
      <c r="G22" s="206" t="s">
        <v>402</v>
      </c>
      <c r="H22" s="206" t="s">
        <v>410</v>
      </c>
      <c r="I22" s="206" t="s">
        <v>430</v>
      </c>
      <c r="J22" s="206" t="s">
        <v>406</v>
      </c>
      <c r="K22" s="206" t="s">
        <v>431</v>
      </c>
      <c r="L22" s="257"/>
      <c r="M22" s="257"/>
      <c r="N22" s="257"/>
      <c r="O22" s="257"/>
    </row>
    <row r="23" spans="1:15" ht="25.5" x14ac:dyDescent="0.2">
      <c r="A23" s="257"/>
      <c r="B23" s="206" t="s">
        <v>478</v>
      </c>
      <c r="C23" s="300" t="s">
        <v>521</v>
      </c>
      <c r="D23" s="206" t="s">
        <v>420</v>
      </c>
      <c r="E23" s="206" t="s">
        <v>413</v>
      </c>
      <c r="F23" s="206" t="s">
        <v>401</v>
      </c>
      <c r="G23" s="206" t="s">
        <v>404</v>
      </c>
      <c r="H23" s="206" t="s">
        <v>428</v>
      </c>
      <c r="I23" s="206" t="s">
        <v>447</v>
      </c>
      <c r="J23" s="206" t="s">
        <v>404</v>
      </c>
      <c r="K23" s="206" t="s">
        <v>431</v>
      </c>
      <c r="L23" s="257"/>
      <c r="M23" s="257"/>
      <c r="N23" s="257"/>
      <c r="O23" s="257"/>
    </row>
    <row r="24" spans="1:15" ht="38.25" x14ac:dyDescent="0.2">
      <c r="A24" s="257"/>
      <c r="B24" s="206" t="s">
        <v>448</v>
      </c>
      <c r="C24" s="300" t="s">
        <v>527</v>
      </c>
      <c r="D24" s="206" t="s">
        <v>449</v>
      </c>
      <c r="E24" s="206" t="s">
        <v>409</v>
      </c>
      <c r="F24" s="206" t="s">
        <v>401</v>
      </c>
      <c r="G24" s="206" t="s">
        <v>223</v>
      </c>
      <c r="H24" s="206" t="s">
        <v>590</v>
      </c>
      <c r="I24" s="206" t="s">
        <v>450</v>
      </c>
      <c r="J24" s="206" t="s">
        <v>404</v>
      </c>
      <c r="K24" s="206" t="s">
        <v>423</v>
      </c>
      <c r="L24" s="257"/>
      <c r="M24" s="257"/>
      <c r="N24" s="257"/>
      <c r="O24" s="257"/>
    </row>
    <row r="25" spans="1:15" ht="38.25" x14ac:dyDescent="0.2">
      <c r="A25" s="257"/>
      <c r="B25" s="206" t="s">
        <v>479</v>
      </c>
      <c r="C25" s="300" t="s">
        <v>528</v>
      </c>
      <c r="D25" s="206" t="s">
        <v>449</v>
      </c>
      <c r="E25" s="206" t="s">
        <v>451</v>
      </c>
      <c r="F25" s="206" t="s">
        <v>549</v>
      </c>
      <c r="G25" s="206" t="s">
        <v>223</v>
      </c>
      <c r="H25" s="206" t="s">
        <v>452</v>
      </c>
      <c r="I25" s="206" t="s">
        <v>453</v>
      </c>
      <c r="J25" s="206" t="s">
        <v>404</v>
      </c>
      <c r="K25" s="206" t="s">
        <v>423</v>
      </c>
      <c r="L25" s="257"/>
      <c r="M25" s="257"/>
      <c r="N25" s="257"/>
      <c r="O25" s="257"/>
    </row>
    <row r="26" spans="1:15" ht="38.25" x14ac:dyDescent="0.2">
      <c r="A26" s="257"/>
      <c r="B26" s="206" t="s">
        <v>609</v>
      </c>
      <c r="C26" s="301" t="s">
        <v>529</v>
      </c>
      <c r="D26" s="206" t="s">
        <v>449</v>
      </c>
      <c r="E26" s="206" t="s">
        <v>591</v>
      </c>
      <c r="F26" s="206" t="s">
        <v>549</v>
      </c>
      <c r="G26" s="206" t="s">
        <v>223</v>
      </c>
      <c r="H26" s="206" t="s">
        <v>592</v>
      </c>
      <c r="I26" s="206" t="s">
        <v>446</v>
      </c>
      <c r="J26" s="206" t="s">
        <v>593</v>
      </c>
      <c r="K26" s="206" t="s">
        <v>389</v>
      </c>
      <c r="L26" s="257"/>
      <c r="M26" s="257"/>
      <c r="N26" s="257"/>
      <c r="O26" s="257"/>
    </row>
    <row r="27" spans="1:15" ht="25.5" x14ac:dyDescent="0.2">
      <c r="A27" s="257"/>
      <c r="B27" s="206" t="s">
        <v>455</v>
      </c>
      <c r="C27" s="300" t="s">
        <v>530</v>
      </c>
      <c r="D27" s="206" t="s">
        <v>449</v>
      </c>
      <c r="E27" s="206" t="s">
        <v>454</v>
      </c>
      <c r="F27" s="206" t="s">
        <v>549</v>
      </c>
      <c r="G27" s="206" t="s">
        <v>223</v>
      </c>
      <c r="H27" s="206" t="s">
        <v>112</v>
      </c>
      <c r="I27" s="206" t="s">
        <v>112</v>
      </c>
      <c r="J27" s="206" t="s">
        <v>404</v>
      </c>
      <c r="K27" s="206" t="s">
        <v>389</v>
      </c>
      <c r="L27" s="257"/>
      <c r="M27" s="257"/>
      <c r="N27" s="257"/>
      <c r="O27" s="257"/>
    </row>
    <row r="28" spans="1:15" ht="25.5" x14ac:dyDescent="0.2">
      <c r="A28" s="257"/>
      <c r="B28" s="206" t="s">
        <v>391</v>
      </c>
      <c r="C28" s="300" t="s">
        <v>531</v>
      </c>
      <c r="D28" s="206" t="s">
        <v>449</v>
      </c>
      <c r="E28" s="206" t="s">
        <v>413</v>
      </c>
      <c r="F28" s="206" t="s">
        <v>549</v>
      </c>
      <c r="G28" s="206" t="s">
        <v>223</v>
      </c>
      <c r="H28" s="206" t="s">
        <v>594</v>
      </c>
      <c r="I28" s="206" t="s">
        <v>456</v>
      </c>
      <c r="J28" s="206" t="s">
        <v>404</v>
      </c>
      <c r="K28" s="206" t="s">
        <v>389</v>
      </c>
      <c r="L28" s="257"/>
      <c r="M28" s="257"/>
      <c r="N28" s="257"/>
      <c r="O28" s="257"/>
    </row>
    <row r="29" spans="1:15" ht="25.5" x14ac:dyDescent="0.2">
      <c r="A29" s="257"/>
      <c r="B29" s="206" t="s">
        <v>457</v>
      </c>
      <c r="C29" s="300" t="s">
        <v>532</v>
      </c>
      <c r="D29" s="206" t="s">
        <v>449</v>
      </c>
      <c r="E29" s="206" t="s">
        <v>451</v>
      </c>
      <c r="F29" s="206" t="s">
        <v>549</v>
      </c>
      <c r="G29" s="206" t="s">
        <v>223</v>
      </c>
      <c r="H29" s="206" t="s">
        <v>458</v>
      </c>
      <c r="I29" s="206" t="s">
        <v>459</v>
      </c>
      <c r="J29" s="206" t="s">
        <v>404</v>
      </c>
      <c r="K29" s="206" t="s">
        <v>389</v>
      </c>
      <c r="L29" s="257"/>
      <c r="M29" s="257"/>
      <c r="N29" s="257"/>
      <c r="O29" s="257"/>
    </row>
    <row r="30" spans="1:15" ht="38.25" x14ac:dyDescent="0.2">
      <c r="A30" s="257"/>
      <c r="B30" s="206" t="s">
        <v>599</v>
      </c>
      <c r="C30" s="300" t="s">
        <v>533</v>
      </c>
      <c r="D30" s="206" t="s">
        <v>449</v>
      </c>
      <c r="E30" s="206" t="s">
        <v>460</v>
      </c>
      <c r="F30" s="206" t="s">
        <v>549</v>
      </c>
      <c r="G30" s="206" t="s">
        <v>223</v>
      </c>
      <c r="H30" s="206" t="s">
        <v>595</v>
      </c>
      <c r="I30" s="206" t="s">
        <v>596</v>
      </c>
      <c r="J30" s="206" t="s">
        <v>406</v>
      </c>
      <c r="K30" s="206" t="s">
        <v>389</v>
      </c>
      <c r="L30" s="257"/>
      <c r="M30" s="257"/>
      <c r="N30" s="257"/>
      <c r="O30" s="257"/>
    </row>
    <row r="31" spans="1:15" ht="25.5" x14ac:dyDescent="0.2">
      <c r="A31" s="257"/>
      <c r="B31" s="206" t="s">
        <v>461</v>
      </c>
      <c r="C31" s="206" t="s">
        <v>597</v>
      </c>
      <c r="D31" s="206" t="s">
        <v>449</v>
      </c>
      <c r="E31" s="206" t="s">
        <v>451</v>
      </c>
      <c r="F31" s="206" t="s">
        <v>549</v>
      </c>
      <c r="G31" s="206" t="s">
        <v>223</v>
      </c>
      <c r="H31" s="206" t="s">
        <v>458</v>
      </c>
      <c r="I31" s="206" t="s">
        <v>459</v>
      </c>
      <c r="J31" s="206" t="s">
        <v>404</v>
      </c>
      <c r="K31" s="206" t="s">
        <v>389</v>
      </c>
      <c r="L31" s="257"/>
      <c r="M31" s="257"/>
      <c r="N31" s="257"/>
      <c r="O31" s="257"/>
    </row>
    <row r="32" spans="1:15" ht="38.25" x14ac:dyDescent="0.2">
      <c r="A32" s="257"/>
      <c r="B32" s="206" t="s">
        <v>600</v>
      </c>
      <c r="C32" s="300" t="s">
        <v>536</v>
      </c>
      <c r="D32" s="206" t="s">
        <v>543</v>
      </c>
      <c r="E32" s="206" t="s">
        <v>415</v>
      </c>
      <c r="F32" s="206" t="s">
        <v>549</v>
      </c>
      <c r="G32" s="206" t="s">
        <v>404</v>
      </c>
      <c r="H32" s="206" t="s">
        <v>598</v>
      </c>
      <c r="I32" s="206" t="s">
        <v>456</v>
      </c>
      <c r="J32" s="206" t="s">
        <v>404</v>
      </c>
      <c r="K32" s="206" t="s">
        <v>418</v>
      </c>
      <c r="L32" s="257"/>
      <c r="M32" s="257"/>
      <c r="N32" s="257"/>
      <c r="O32" s="257"/>
    </row>
    <row r="33" spans="1:15" ht="38.25" x14ac:dyDescent="0.2">
      <c r="A33" s="257"/>
      <c r="B33" s="206" t="s">
        <v>463</v>
      </c>
      <c r="C33" s="300" t="s">
        <v>535</v>
      </c>
      <c r="D33" s="206" t="s">
        <v>543</v>
      </c>
      <c r="E33" s="206" t="s">
        <v>464</v>
      </c>
      <c r="F33" s="206" t="s">
        <v>570</v>
      </c>
      <c r="G33" s="206" t="s">
        <v>404</v>
      </c>
      <c r="H33" s="206" t="s">
        <v>601</v>
      </c>
      <c r="I33" s="206" t="s">
        <v>446</v>
      </c>
      <c r="J33" s="206" t="s">
        <v>422</v>
      </c>
      <c r="K33" s="206" t="s">
        <v>389</v>
      </c>
      <c r="L33" s="257"/>
      <c r="M33" s="257"/>
      <c r="N33" s="257"/>
      <c r="O33" s="257"/>
    </row>
    <row r="34" spans="1:15" ht="38.25" x14ac:dyDescent="0.2">
      <c r="A34" s="257"/>
      <c r="B34" s="206" t="s">
        <v>480</v>
      </c>
      <c r="C34" s="300" t="s">
        <v>534</v>
      </c>
      <c r="D34" s="206" t="s">
        <v>543</v>
      </c>
      <c r="E34" s="206" t="s">
        <v>415</v>
      </c>
      <c r="F34" s="206" t="s">
        <v>401</v>
      </c>
      <c r="G34" s="206" t="s">
        <v>404</v>
      </c>
      <c r="H34" s="206" t="s">
        <v>425</v>
      </c>
      <c r="I34" s="206" t="s">
        <v>465</v>
      </c>
      <c r="J34" s="206" t="s">
        <v>404</v>
      </c>
      <c r="K34" s="206" t="s">
        <v>418</v>
      </c>
      <c r="L34" s="257"/>
      <c r="M34" s="257"/>
      <c r="N34" s="257"/>
      <c r="O34" s="257"/>
    </row>
    <row r="35" spans="1:15" ht="25.5" x14ac:dyDescent="0.2">
      <c r="A35" s="257"/>
      <c r="B35" s="206" t="s">
        <v>466</v>
      </c>
      <c r="C35" s="300" t="s">
        <v>537</v>
      </c>
      <c r="D35" s="206" t="s">
        <v>543</v>
      </c>
      <c r="E35" s="206" t="s">
        <v>415</v>
      </c>
      <c r="F35" s="206" t="s">
        <v>401</v>
      </c>
      <c r="G35" s="206" t="s">
        <v>404</v>
      </c>
      <c r="H35" s="206" t="s">
        <v>467</v>
      </c>
      <c r="I35" s="206" t="s">
        <v>468</v>
      </c>
      <c r="J35" s="206" t="s">
        <v>406</v>
      </c>
      <c r="K35" s="206" t="s">
        <v>418</v>
      </c>
      <c r="L35" s="257"/>
      <c r="M35" s="257"/>
      <c r="N35" s="257"/>
      <c r="O35" s="257"/>
    </row>
    <row r="36" spans="1:15" ht="25.5" x14ac:dyDescent="0.2">
      <c r="A36" s="257"/>
      <c r="B36" s="206" t="s">
        <v>469</v>
      </c>
      <c r="C36" s="300" t="s">
        <v>538</v>
      </c>
      <c r="D36" s="206" t="s">
        <v>542</v>
      </c>
      <c r="E36" s="206" t="s">
        <v>413</v>
      </c>
      <c r="F36" s="206" t="s">
        <v>570</v>
      </c>
      <c r="G36" s="206" t="s">
        <v>349</v>
      </c>
      <c r="H36" s="206" t="s">
        <v>429</v>
      </c>
      <c r="I36" s="206" t="s">
        <v>550</v>
      </c>
      <c r="J36" s="206" t="s">
        <v>422</v>
      </c>
      <c r="K36" s="206" t="s">
        <v>389</v>
      </c>
      <c r="L36" s="257"/>
      <c r="M36" s="257"/>
      <c r="N36" s="257"/>
      <c r="O36" s="257"/>
    </row>
    <row r="37" spans="1:15" ht="25.5" x14ac:dyDescent="0.2">
      <c r="A37" s="257"/>
      <c r="B37" s="206" t="s">
        <v>470</v>
      </c>
      <c r="C37" s="300" t="s">
        <v>539</v>
      </c>
      <c r="D37" s="206" t="s">
        <v>541</v>
      </c>
      <c r="E37" s="206" t="s">
        <v>413</v>
      </c>
      <c r="F37" s="206" t="s">
        <v>401</v>
      </c>
      <c r="G37" s="206" t="s">
        <v>404</v>
      </c>
      <c r="H37" s="206" t="s">
        <v>447</v>
      </c>
      <c r="I37" s="206" t="s">
        <v>462</v>
      </c>
      <c r="J37" s="206" t="s">
        <v>406</v>
      </c>
      <c r="K37" s="206" t="s">
        <v>389</v>
      </c>
      <c r="L37" s="257"/>
      <c r="M37" s="257"/>
      <c r="N37" s="257"/>
      <c r="O37" s="257"/>
    </row>
    <row r="38" spans="1:15" ht="51.75" x14ac:dyDescent="0.25">
      <c r="A38" s="257"/>
      <c r="B38" s="206" t="s">
        <v>552</v>
      </c>
      <c r="C38" s="324" t="s">
        <v>574</v>
      </c>
      <c r="D38" s="206" t="s">
        <v>419</v>
      </c>
      <c r="E38" s="206" t="s">
        <v>415</v>
      </c>
      <c r="F38" s="206" t="s">
        <v>570</v>
      </c>
      <c r="G38" s="206" t="s">
        <v>406</v>
      </c>
      <c r="H38" s="206" t="s">
        <v>602</v>
      </c>
      <c r="I38" s="206" t="s">
        <v>426</v>
      </c>
      <c r="J38" s="206" t="s">
        <v>603</v>
      </c>
      <c r="K38" s="206" t="s">
        <v>553</v>
      </c>
      <c r="L38" s="257"/>
      <c r="M38" s="257"/>
      <c r="N38" s="257"/>
      <c r="O38" s="257"/>
    </row>
    <row r="39" spans="1:15" ht="38.25" x14ac:dyDescent="0.2">
      <c r="A39" s="257"/>
      <c r="B39" s="206" t="s">
        <v>471</v>
      </c>
      <c r="C39" s="300" t="s">
        <v>540</v>
      </c>
      <c r="D39" s="206" t="s">
        <v>541</v>
      </c>
      <c r="E39" s="206" t="s">
        <v>413</v>
      </c>
      <c r="F39" s="206" t="s">
        <v>401</v>
      </c>
      <c r="G39" s="206" t="s">
        <v>406</v>
      </c>
      <c r="H39" s="206" t="s">
        <v>604</v>
      </c>
      <c r="I39" s="206" t="s">
        <v>605</v>
      </c>
      <c r="J39" s="206" t="s">
        <v>422</v>
      </c>
      <c r="K39" s="206" t="s">
        <v>606</v>
      </c>
      <c r="L39" s="257"/>
      <c r="M39" s="257"/>
      <c r="N39" s="257"/>
      <c r="O39" s="257"/>
    </row>
    <row r="40" spans="1:15" x14ac:dyDescent="0.2">
      <c r="A40" s="257"/>
      <c r="B40" s="257"/>
      <c r="C40" s="257"/>
      <c r="D40" s="257"/>
      <c r="E40" s="257"/>
      <c r="F40" s="257"/>
      <c r="G40" s="257"/>
      <c r="H40" s="257"/>
      <c r="I40" s="257"/>
      <c r="J40" s="257"/>
      <c r="K40" s="257"/>
      <c r="L40" s="257"/>
      <c r="M40" s="257"/>
      <c r="N40" s="257"/>
      <c r="O40" s="257"/>
    </row>
    <row r="41" spans="1:15" x14ac:dyDescent="0.2">
      <c r="A41" s="257"/>
      <c r="B41" s="257"/>
      <c r="C41" s="257"/>
      <c r="D41" s="257"/>
      <c r="E41" s="257"/>
      <c r="F41" s="257"/>
      <c r="G41" s="257"/>
      <c r="H41" s="257"/>
      <c r="I41" s="257"/>
      <c r="J41" s="257"/>
      <c r="K41" s="257"/>
      <c r="L41" s="257"/>
      <c r="M41" s="257"/>
      <c r="N41" s="257"/>
      <c r="O41" s="257"/>
    </row>
    <row r="42" spans="1:15" x14ac:dyDescent="0.2">
      <c r="A42" s="257"/>
      <c r="B42" s="257"/>
      <c r="C42" s="257"/>
      <c r="D42" s="257"/>
      <c r="E42" s="257"/>
      <c r="F42" s="257"/>
      <c r="G42" s="257"/>
      <c r="H42" s="257"/>
      <c r="I42" s="257"/>
      <c r="J42" s="257"/>
      <c r="K42" s="257"/>
      <c r="L42" s="257"/>
      <c r="M42" s="257"/>
      <c r="N42" s="257"/>
      <c r="O42" s="257"/>
    </row>
    <row r="43" spans="1:15" x14ac:dyDescent="0.2">
      <c r="A43" s="257"/>
      <c r="B43" s="257"/>
      <c r="C43" s="257"/>
      <c r="D43" s="257"/>
      <c r="E43" s="257"/>
      <c r="F43" s="257"/>
      <c r="G43" s="257"/>
      <c r="H43" s="257"/>
      <c r="I43" s="257"/>
      <c r="J43" s="257"/>
      <c r="K43" s="257"/>
      <c r="L43" s="257"/>
      <c r="M43" s="257"/>
      <c r="N43" s="257"/>
      <c r="O43" s="257"/>
    </row>
    <row r="44" spans="1:15" x14ac:dyDescent="0.2">
      <c r="A44" s="257"/>
      <c r="B44" s="257"/>
      <c r="C44" s="257"/>
      <c r="D44" s="257"/>
      <c r="E44" s="257"/>
      <c r="F44" s="257"/>
      <c r="G44" s="257"/>
      <c r="H44" s="257"/>
      <c r="I44" s="257"/>
      <c r="J44" s="257"/>
      <c r="K44" s="257"/>
      <c r="L44" s="257"/>
      <c r="M44" s="257"/>
      <c r="N44" s="257"/>
      <c r="O44" s="257"/>
    </row>
    <row r="45" spans="1:15" x14ac:dyDescent="0.2">
      <c r="A45" s="257"/>
      <c r="B45" s="257"/>
      <c r="C45" s="257"/>
      <c r="D45" s="257"/>
      <c r="E45" s="257"/>
      <c r="F45" s="257"/>
      <c r="G45" s="257"/>
      <c r="H45" s="257"/>
      <c r="I45" s="257"/>
      <c r="J45" s="257"/>
      <c r="K45" s="257"/>
      <c r="L45" s="257"/>
      <c r="M45" s="257"/>
      <c r="N45" s="257"/>
      <c r="O45" s="257"/>
    </row>
    <row r="46" spans="1:15" x14ac:dyDescent="0.2">
      <c r="A46" s="257"/>
      <c r="B46" s="257"/>
      <c r="C46" s="257"/>
      <c r="D46" s="257"/>
      <c r="E46" s="257"/>
      <c r="F46" s="257"/>
      <c r="G46" s="257"/>
      <c r="H46" s="257"/>
      <c r="I46" s="257"/>
      <c r="J46" s="257"/>
      <c r="K46" s="257"/>
      <c r="L46" s="257"/>
      <c r="M46" s="257"/>
      <c r="N46" s="257"/>
      <c r="O46" s="257"/>
    </row>
    <row r="47" spans="1:15" x14ac:dyDescent="0.2">
      <c r="A47" s="257"/>
      <c r="B47" s="257"/>
      <c r="C47" s="257"/>
      <c r="D47" s="257"/>
      <c r="E47" s="257"/>
      <c r="F47" s="257"/>
      <c r="G47" s="257"/>
      <c r="H47" s="257"/>
      <c r="I47" s="257"/>
      <c r="J47" s="257"/>
      <c r="K47" s="257"/>
      <c r="L47" s="257"/>
      <c r="M47" s="257"/>
      <c r="N47" s="257"/>
      <c r="O47" s="257"/>
    </row>
    <row r="48" spans="1:15" x14ac:dyDescent="0.2">
      <c r="A48" s="257"/>
      <c r="B48" s="257"/>
      <c r="C48" s="257"/>
      <c r="D48" s="257"/>
      <c r="E48" s="257"/>
      <c r="F48" s="257"/>
      <c r="G48" s="257"/>
      <c r="H48" s="257"/>
      <c r="I48" s="257"/>
      <c r="J48" s="257"/>
      <c r="K48" s="257"/>
      <c r="L48" s="257"/>
      <c r="M48" s="257"/>
      <c r="N48" s="257"/>
      <c r="O48" s="257"/>
    </row>
    <row r="49" spans="1:15" x14ac:dyDescent="0.2">
      <c r="A49" s="257"/>
      <c r="B49" s="257"/>
      <c r="C49" s="257"/>
      <c r="D49" s="257"/>
      <c r="E49" s="257"/>
      <c r="F49" s="257"/>
      <c r="G49" s="257"/>
      <c r="H49" s="257"/>
      <c r="I49" s="257"/>
      <c r="J49" s="257"/>
      <c r="K49" s="257"/>
      <c r="L49" s="257"/>
      <c r="M49" s="257"/>
      <c r="N49" s="257"/>
      <c r="O49" s="257"/>
    </row>
    <row r="50" spans="1:15" x14ac:dyDescent="0.2">
      <c r="A50" s="257"/>
      <c r="B50" s="257"/>
      <c r="C50" s="257"/>
      <c r="D50" s="257"/>
      <c r="E50" s="257"/>
      <c r="F50" s="257"/>
      <c r="G50" s="257"/>
      <c r="H50" s="257"/>
      <c r="I50" s="257"/>
      <c r="J50" s="257"/>
      <c r="K50" s="257"/>
      <c r="L50" s="257"/>
      <c r="M50" s="257"/>
      <c r="N50" s="257"/>
      <c r="O50" s="257"/>
    </row>
    <row r="51" spans="1:15" x14ac:dyDescent="0.2">
      <c r="A51" s="257"/>
      <c r="B51" s="257"/>
      <c r="C51" s="257"/>
      <c r="D51" s="257"/>
      <c r="E51" s="257"/>
      <c r="F51" s="257"/>
      <c r="G51" s="257"/>
      <c r="H51" s="257"/>
      <c r="I51" s="257"/>
      <c r="J51" s="257"/>
      <c r="K51" s="257"/>
      <c r="L51" s="257"/>
      <c r="M51" s="257"/>
      <c r="N51" s="257"/>
      <c r="O51" s="257"/>
    </row>
    <row r="52" spans="1:15" x14ac:dyDescent="0.2">
      <c r="A52" s="257"/>
      <c r="B52" s="257"/>
      <c r="C52" s="257"/>
      <c r="D52" s="257"/>
      <c r="E52" s="257"/>
      <c r="F52" s="257"/>
      <c r="G52" s="257"/>
      <c r="H52" s="257"/>
      <c r="I52" s="257"/>
      <c r="J52" s="257"/>
      <c r="K52" s="257"/>
      <c r="L52" s="257"/>
      <c r="M52" s="257"/>
      <c r="N52" s="257"/>
      <c r="O52" s="257"/>
    </row>
    <row r="53" spans="1:15" x14ac:dyDescent="0.2">
      <c r="A53" s="257"/>
      <c r="B53" s="257"/>
      <c r="C53" s="257"/>
      <c r="D53" s="257"/>
      <c r="E53" s="257"/>
      <c r="F53" s="257"/>
      <c r="G53" s="257"/>
      <c r="H53" s="257"/>
      <c r="I53" s="257"/>
      <c r="J53" s="257"/>
      <c r="K53" s="257"/>
      <c r="L53" s="257"/>
      <c r="M53" s="257"/>
      <c r="N53" s="257"/>
      <c r="O53" s="257"/>
    </row>
    <row r="54" spans="1:15" x14ac:dyDescent="0.2">
      <c r="A54" s="257"/>
      <c r="B54" s="257"/>
      <c r="C54" s="257"/>
      <c r="D54" s="257"/>
      <c r="E54" s="257"/>
      <c r="F54" s="257"/>
      <c r="G54" s="257"/>
      <c r="H54" s="257"/>
      <c r="I54" s="257"/>
      <c r="J54" s="257"/>
      <c r="K54" s="257"/>
      <c r="L54" s="257"/>
      <c r="M54" s="257"/>
      <c r="N54" s="257"/>
      <c r="O54" s="257"/>
    </row>
    <row r="55" spans="1:15" x14ac:dyDescent="0.2">
      <c r="A55" s="257"/>
      <c r="B55" s="257"/>
      <c r="C55" s="257"/>
      <c r="D55" s="257"/>
      <c r="E55" s="257"/>
      <c r="F55" s="257"/>
      <c r="G55" s="257"/>
      <c r="H55" s="257"/>
      <c r="I55" s="257"/>
      <c r="J55" s="257"/>
      <c r="K55" s="257"/>
      <c r="L55" s="257"/>
      <c r="M55" s="257"/>
      <c r="N55" s="257"/>
      <c r="O55" s="257"/>
    </row>
    <row r="56" spans="1:15" x14ac:dyDescent="0.2">
      <c r="A56" s="257"/>
      <c r="B56" s="257"/>
      <c r="C56" s="257"/>
      <c r="D56" s="257"/>
      <c r="E56" s="257"/>
      <c r="F56" s="257"/>
      <c r="G56" s="257"/>
      <c r="H56" s="257"/>
      <c r="I56" s="257"/>
      <c r="J56" s="257"/>
      <c r="K56" s="257"/>
      <c r="L56" s="257"/>
      <c r="M56" s="257"/>
      <c r="N56" s="257"/>
      <c r="O56" s="257"/>
    </row>
  </sheetData>
  <sheetProtection sheet="1" objects="1" scenarios="1" selectLockedCells="1" autoFilter="0" selectUnlockedCells="1"/>
  <autoFilter ref="B2:K39"/>
  <phoneticPr fontId="18" type="noConversion"/>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16401" r:id="rId4" name="CommandButton1">
          <controlPr autoLine="0" r:id="rId5">
            <anchor moveWithCells="1">
              <from>
                <xdr:col>9</xdr:col>
                <xdr:colOff>409575</xdr:colOff>
                <xdr:row>0</xdr:row>
                <xdr:rowOff>352425</xdr:rowOff>
              </from>
              <to>
                <xdr:col>11</xdr:col>
                <xdr:colOff>276225</xdr:colOff>
                <xdr:row>0</xdr:row>
                <xdr:rowOff>828675</xdr:rowOff>
              </to>
            </anchor>
          </controlPr>
        </control>
      </mc:Choice>
      <mc:Fallback>
        <control shapeId="16401" r:id="rId4" name="CommandButton1"/>
      </mc:Fallback>
    </mc:AlternateContent>
  </control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I399"/>
  <sheetViews>
    <sheetView topLeftCell="G1" zoomScale="69" zoomScaleNormal="69" workbookViewId="0">
      <selection activeCell="AA46" sqref="AA46"/>
    </sheetView>
  </sheetViews>
  <sheetFormatPr defaultRowHeight="12.75" x14ac:dyDescent="0.2"/>
  <cols>
    <col min="1" max="1" width="31.42578125" style="6" customWidth="1"/>
    <col min="2" max="2" width="9.85546875" customWidth="1"/>
    <col min="3" max="3" width="11.42578125" customWidth="1"/>
    <col min="4" max="4" width="11.85546875" customWidth="1"/>
    <col min="5" max="5" width="16" customWidth="1"/>
    <col min="6" max="6" width="27.42578125" style="65" customWidth="1"/>
    <col min="7" max="7" width="13.5703125" customWidth="1"/>
    <col min="8" max="8" width="9.7109375" customWidth="1"/>
    <col min="9" max="9" width="10" customWidth="1"/>
    <col min="10" max="10" width="10.140625" customWidth="1"/>
    <col min="11" max="12" width="12.85546875" customWidth="1"/>
    <col min="13" max="13" width="14" customWidth="1"/>
    <col min="14" max="14" width="13.28515625" customWidth="1"/>
    <col min="15" max="15" width="10.42578125" style="5" customWidth="1"/>
    <col min="16" max="16" width="11.140625" style="5" customWidth="1"/>
    <col min="17" max="17" width="10.85546875" style="5" customWidth="1"/>
    <col min="18" max="18" width="10.85546875" style="122" customWidth="1"/>
    <col min="19" max="19" width="45.140625" style="121" customWidth="1"/>
    <col min="20" max="21" width="9.140625" style="121"/>
    <col min="22" max="22" width="49.28515625" style="121" customWidth="1"/>
    <col min="23" max="28" width="9.140625" style="121"/>
  </cols>
  <sheetData>
    <row r="1" spans="1:35" ht="13.5" thickBot="1" x14ac:dyDescent="0.25">
      <c r="R1" s="122" t="s">
        <v>256</v>
      </c>
      <c r="S1" s="121" t="s">
        <v>55</v>
      </c>
      <c r="T1" s="121" t="s">
        <v>257</v>
      </c>
      <c r="U1" s="119"/>
      <c r="V1" s="175" t="s">
        <v>273</v>
      </c>
      <c r="W1" s="176"/>
      <c r="X1" s="177"/>
      <c r="Y1" s="177"/>
      <c r="Z1" s="177"/>
      <c r="AA1" s="177"/>
      <c r="AB1" s="177"/>
      <c r="AC1" s="177"/>
      <c r="AD1" s="177"/>
      <c r="AE1" s="177"/>
      <c r="AF1" s="177"/>
      <c r="AG1" s="177"/>
      <c r="AH1" s="178"/>
    </row>
    <row r="2" spans="1:35" ht="13.5" thickBot="1" x14ac:dyDescent="0.25">
      <c r="G2" s="7" t="str">
        <f>LOOKUP('CWA Entry'!A7,'Calculations (Toxic Load)'!R2:R12,'Calculations (Toxic Load)'!S2:S12)</f>
        <v>Tabun (GA)</v>
      </c>
      <c r="H2" s="4"/>
      <c r="I2" s="421" t="s">
        <v>156</v>
      </c>
      <c r="J2" s="422"/>
      <c r="K2" s="422"/>
      <c r="L2" s="422"/>
      <c r="M2" s="422"/>
      <c r="N2" s="422"/>
      <c r="O2" s="422"/>
      <c r="P2" s="422"/>
      <c r="Q2" s="423"/>
      <c r="R2" s="122">
        <v>1</v>
      </c>
      <c r="S2" s="119" t="s">
        <v>624</v>
      </c>
      <c r="T2" s="119">
        <v>162.1</v>
      </c>
      <c r="U2" s="119"/>
      <c r="V2" s="186"/>
      <c r="W2" s="180" t="s">
        <v>55</v>
      </c>
      <c r="X2" s="180" t="s">
        <v>54</v>
      </c>
      <c r="Y2" s="180" t="s">
        <v>78</v>
      </c>
      <c r="Z2" s="180" t="s">
        <v>79</v>
      </c>
      <c r="AA2" s="180" t="s">
        <v>80</v>
      </c>
      <c r="AB2" s="180" t="s">
        <v>81</v>
      </c>
      <c r="AC2" s="180" t="s">
        <v>82</v>
      </c>
      <c r="AD2" s="180" t="s">
        <v>255</v>
      </c>
      <c r="AE2" s="180" t="s">
        <v>252</v>
      </c>
      <c r="AF2" s="180" t="s">
        <v>253</v>
      </c>
      <c r="AG2" s="180" t="s">
        <v>254</v>
      </c>
      <c r="AH2" s="181" t="s">
        <v>247</v>
      </c>
    </row>
    <row r="3" spans="1:35" ht="13.5" thickBot="1" x14ac:dyDescent="0.25">
      <c r="A3" s="6" t="s">
        <v>55</v>
      </c>
      <c r="B3" s="6" t="s">
        <v>56</v>
      </c>
      <c r="C3" s="123" t="s">
        <v>365</v>
      </c>
      <c r="D3" s="6" t="s">
        <v>84</v>
      </c>
      <c r="E3" s="6" t="s">
        <v>94</v>
      </c>
      <c r="F3" s="152" t="s">
        <v>93</v>
      </c>
      <c r="G3" s="7" t="s">
        <v>90</v>
      </c>
      <c r="H3" s="7" t="s">
        <v>92</v>
      </c>
      <c r="I3" s="153" t="s">
        <v>55</v>
      </c>
      <c r="J3" s="154" t="s">
        <v>56</v>
      </c>
      <c r="K3" s="154" t="s">
        <v>91</v>
      </c>
      <c r="L3" s="154" t="s">
        <v>98</v>
      </c>
      <c r="M3" s="154" t="s">
        <v>97</v>
      </c>
      <c r="N3" s="154" t="s">
        <v>99</v>
      </c>
      <c r="O3" s="155" t="s">
        <v>103</v>
      </c>
      <c r="P3" s="155" t="s">
        <v>102</v>
      </c>
      <c r="Q3" s="156" t="s">
        <v>101</v>
      </c>
      <c r="R3" s="122">
        <v>2</v>
      </c>
      <c r="S3" s="119" t="s">
        <v>625</v>
      </c>
      <c r="T3" s="119">
        <v>140.1</v>
      </c>
      <c r="U3" s="119"/>
      <c r="V3" s="182" t="s">
        <v>260</v>
      </c>
      <c r="W3" s="183">
        <v>1</v>
      </c>
      <c r="X3" s="308">
        <v>5.0000000000000001E-3</v>
      </c>
      <c r="Y3" s="308">
        <v>5.0000000000000001E-3</v>
      </c>
      <c r="Z3" s="308">
        <v>5.0000000000000001E-3</v>
      </c>
      <c r="AA3" s="308">
        <v>5.0000000000000001E-3</v>
      </c>
      <c r="AB3" s="308">
        <v>0.02</v>
      </c>
      <c r="AC3" s="308">
        <v>2</v>
      </c>
      <c r="AD3" s="308" t="s">
        <v>223</v>
      </c>
      <c r="AE3" s="308" t="s">
        <v>223</v>
      </c>
      <c r="AF3" s="308" t="s">
        <v>223</v>
      </c>
      <c r="AG3" s="308" t="s">
        <v>223</v>
      </c>
      <c r="AH3" s="308">
        <v>9</v>
      </c>
    </row>
    <row r="4" spans="1:35" ht="13.5" thickBot="1" x14ac:dyDescent="0.25">
      <c r="A4" s="6" t="s">
        <v>54</v>
      </c>
      <c r="B4" t="s">
        <v>57</v>
      </c>
      <c r="C4">
        <v>1.5</v>
      </c>
      <c r="D4">
        <v>12</v>
      </c>
      <c r="E4">
        <v>-1</v>
      </c>
      <c r="F4" s="65">
        <f>F7*POWER(10,C4*E4/D4)</f>
        <v>310.53119208457002</v>
      </c>
      <c r="G4" s="4">
        <f>'CWA Entry'!C4</f>
        <v>61.621672954399955</v>
      </c>
      <c r="H4" s="4">
        <f>'CWA Entry'!D3</f>
        <v>240</v>
      </c>
      <c r="I4" s="124" t="s">
        <v>54</v>
      </c>
      <c r="J4" s="125" t="s">
        <v>95</v>
      </c>
      <c r="K4" s="126">
        <f>(POWER(G$4,C$4)*H$4)</f>
        <v>116094.45277697644</v>
      </c>
      <c r="L4" s="125" t="str">
        <f>IF(K4&gt;F10,"&gt;84%",IF(K4&gt;F9,"&gt;70%&lt;84%",IF(K4&gt;F8,"&gt;60%&lt;70%",IF(K4&gt;F7,"&gt;50%&lt;60%",IF(K4&gt;F6,"&gt;40%&lt;50%",IF(K4&gt;F5,"&gt;30%&lt;40%",IF(K4&gt;F4,"&gt;16%&lt;30%","&lt;16%")))))))</f>
        <v>&gt;84%</v>
      </c>
      <c r="M4" s="125" t="str">
        <f>IF(K4&gt;F17,"&gt;84%",IF(K4&gt;F16,"&gt;70%&lt;84%",IF(K4&gt;F15,"&gt;60%&lt;70%",IF(K4&gt;F14,"&gt;50%&lt;60%",IF(K4&gt;F13,"&gt;40%&lt;50%",IF(K4&gt;F12,"&gt;30%&lt;40%",IF(K4&gt;F11,"&gt;16%&lt;30%","&lt;16%")))))))</f>
        <v>&gt;84%</v>
      </c>
      <c r="N4" s="125"/>
      <c r="O4" s="127">
        <f>IF(L4="&lt;16%",F4,IF(L4="&gt;16%&lt;30%",F5,IF(L4="&gt;30%&lt;40%",F6,IF(L4="&gt;40%&lt;50%",F7,IF(L4="&gt;50%&lt;60%",F8,IF(L4="&gt;60%&lt;70%",F9,IF(L4="&gt;70%&lt;84%",F10,F10)))))))</f>
        <v>552.2112250588325</v>
      </c>
      <c r="P4" s="127">
        <f>IF(M4="&lt;16%",F11,IF(M4="&gt;16%&lt;30%",F12,IF(M4="&gt;30%&lt;40%",F13,IF(M4="&gt;40%&lt;50%",F14,IF(M4="&gt;50%&lt;60%",F15,IF(M4="&gt;60%&lt;70%",F16,IF(M4="&gt;70%&lt;84%",F17,F17)))))))</f>
        <v>353.13438615568862</v>
      </c>
      <c r="Q4" s="128"/>
      <c r="R4" s="122">
        <v>3</v>
      </c>
      <c r="S4" s="119" t="s">
        <v>626</v>
      </c>
      <c r="T4" s="119">
        <v>182.17</v>
      </c>
      <c r="U4" s="119"/>
      <c r="V4" s="182" t="s">
        <v>261</v>
      </c>
      <c r="W4" s="183">
        <v>2</v>
      </c>
      <c r="X4" s="308">
        <v>5.0000000000000001E-3</v>
      </c>
      <c r="Y4" s="308">
        <v>5.0000000000000001E-3</v>
      </c>
      <c r="Z4" s="308">
        <v>5.0000000000000001E-3</v>
      </c>
      <c r="AA4" s="308">
        <v>5.0000000000000001E-3</v>
      </c>
      <c r="AB4" s="308">
        <v>5.0000000000000001E-3</v>
      </c>
      <c r="AC4" s="308">
        <v>0.02</v>
      </c>
      <c r="AD4" s="308" t="s">
        <v>223</v>
      </c>
      <c r="AE4" s="308" t="s">
        <v>223</v>
      </c>
      <c r="AF4" s="308" t="s">
        <v>223</v>
      </c>
      <c r="AG4" s="308" t="s">
        <v>223</v>
      </c>
      <c r="AH4" s="308">
        <v>2</v>
      </c>
    </row>
    <row r="5" spans="1:35" ht="13.5" thickBot="1" x14ac:dyDescent="0.25">
      <c r="A5" s="6" t="s">
        <v>54</v>
      </c>
      <c r="B5" t="s">
        <v>58</v>
      </c>
      <c r="C5">
        <v>1.5</v>
      </c>
      <c r="D5">
        <v>12</v>
      </c>
      <c r="E5" s="3">
        <v>-0.52</v>
      </c>
      <c r="F5" s="65">
        <f>F7*POWER(10,C5*E5/D5)</f>
        <v>356.53751277964312</v>
      </c>
      <c r="I5" s="124"/>
      <c r="J5" s="125" t="s">
        <v>96</v>
      </c>
      <c r="K5" s="126">
        <f>(POWER(G$4,C$18)*H$4)</f>
        <v>175301.17103771528</v>
      </c>
      <c r="L5" s="125"/>
      <c r="M5" s="125"/>
      <c r="N5" s="125" t="str">
        <f>IF(K5&gt;F24,"&gt;84%",IF(K5&gt;F23,"&gt;70%&lt;84%",IF(K5&gt;F22,"&gt;60%&lt;70%",IF(K5&gt;F21,"&gt;50%&lt;60%",IF(K5&gt;F20,"&gt;40%&lt;50%",IF(K5&gt;F19,"&gt;30%&lt;40%",IF(K5&gt;F18,"&gt;16%&lt;30%","&lt;16%")))))))</f>
        <v>&gt;84%</v>
      </c>
      <c r="O5" s="127"/>
      <c r="P5" s="127"/>
      <c r="Q5" s="128">
        <f>IF(N5="&lt;16%",F18,IF(N5="&gt;16%&lt;30%",F19,IF(N5="&gt;30%&lt;40%",F20,IF(N5="&gt;40%&lt;50%",F21,IF(N5="&gt;50%&lt;60%",F22,IF(N5="&gt;60%&lt;70%",F23,IF(N5="&gt;70%&lt;84%",F24,F24)))))))</f>
        <v>0.21970684515338096</v>
      </c>
      <c r="R5" s="122">
        <v>4</v>
      </c>
      <c r="S5" s="119" t="s">
        <v>627</v>
      </c>
      <c r="T5" s="119">
        <v>180.2</v>
      </c>
      <c r="U5" s="119"/>
      <c r="V5" s="182" t="s">
        <v>284</v>
      </c>
      <c r="W5" s="183">
        <v>3</v>
      </c>
      <c r="X5" s="308">
        <v>0.16600000000000001</v>
      </c>
      <c r="Y5" s="308">
        <v>0.14299999999999999</v>
      </c>
      <c r="Z5" s="308">
        <v>0.186</v>
      </c>
      <c r="AA5" s="308" t="s">
        <v>223</v>
      </c>
      <c r="AB5" s="308" t="s">
        <v>223</v>
      </c>
      <c r="AC5" s="308">
        <v>0.97599999999999998</v>
      </c>
      <c r="AD5" s="308" t="s">
        <v>223</v>
      </c>
      <c r="AE5" s="308" t="s">
        <v>223</v>
      </c>
      <c r="AF5" s="308" t="s">
        <v>223</v>
      </c>
      <c r="AG5" s="308" t="s">
        <v>223</v>
      </c>
      <c r="AH5" s="308">
        <v>0.84799999999999998</v>
      </c>
    </row>
    <row r="6" spans="1:35" ht="13.5" thickBot="1" x14ac:dyDescent="0.25">
      <c r="A6" s="6" t="s">
        <v>54</v>
      </c>
      <c r="B6" t="s">
        <v>59</v>
      </c>
      <c r="C6">
        <v>1.5</v>
      </c>
      <c r="D6">
        <v>12</v>
      </c>
      <c r="E6" s="3">
        <v>-0.25</v>
      </c>
      <c r="F6" s="65">
        <f>F7*POWER(10,C6*E6/D6)</f>
        <v>385.3498821489884</v>
      </c>
      <c r="I6" s="124"/>
      <c r="J6" s="125" t="s">
        <v>143</v>
      </c>
      <c r="K6" s="126">
        <f>(POWER(G$4,C25)*H$4)</f>
        <v>14789.201509055989</v>
      </c>
      <c r="L6" s="125" t="str">
        <f>IF(K6&gt;F52,"&gt;84%",IF(K6&gt;F51,"&gt;70%&lt;84%",IF(K6&gt;F50,"&gt;60%&lt;70%",IF(K6&gt;F49,"&gt;50%&lt;60%",IF(K6&gt;F48,"&gt;40%&lt;50%",IF(K6&gt;F47,"&gt;30%&lt;40%",IF(K6&gt;F46,"&gt;16%&lt;30%","&lt;16%")))))))</f>
        <v>&gt;84%</v>
      </c>
      <c r="M6" s="125" t="str">
        <f>IF(K6&gt;F59,"&gt;84%",IF(K6&gt;F58&gt;"70%&lt;84%",IF(K6&gt;F57,"&gt;60%&lt;70%",IF(K6&gt;F56,"&gt;50%&lt;60%",IF(K6&gt;F55,"&gt;40%&lt;50%",IF(K6&gt;F54,"&gt;30%&lt;40%",IF(K6&gt;F53,"&gt;16%&lt;30%","&lt;16%")))))))</f>
        <v>&gt;84%</v>
      </c>
      <c r="N6" s="125" t="str">
        <f>IF(K6&gt;F66,"&gt;84%",IF(K6&gt;F65,"&gt;70%&lt;84%",IF(K6&gt;F64,"&gt;60%&lt;70%",IF(K6&gt;F63,"&gt;50%&lt;60%",IF(K6&gt;F62,"&gt;40%&lt;50%",IF(K6&gt;F61,"&gt;30%&lt;40%",IF(K6&gt;F60,"&gt;16%&lt;30%","&lt;16%")))))))</f>
        <v>&gt;84%</v>
      </c>
      <c r="O6" s="127">
        <f>IF(L6="&lt;16%",F25,IF(L6="&gt;16%&lt;30%",F26,IF(L6="&gt;30%&lt;40%",F27,IF(L6="&gt;40%&lt;50%",F28,IF(L6="&gt;50%&lt;60%",F29,IF(L6="&gt;60%&lt;70%",F30,IF(L6="&gt;70%&lt;84%",F31,F31)))))))</f>
        <v>23773.397886916704</v>
      </c>
      <c r="P6" s="127">
        <f>IF(M6="&lt;16%",F32,IF(M6="&gt;16%&lt;30%",F33,IF(M6="&gt;30%&lt;40%",F34,IF(M6="&gt;40%&lt;50%",F35,IF(M6="&gt;50%&lt;60%",F36,IF(M6="&gt;60%&lt;70%",F37,IF(M6="&gt;70%&lt;84%",F38,F38)))))))</f>
        <v>19018.718309533364</v>
      </c>
      <c r="Q6" s="128">
        <f>IF(N6="&lt;16%",F39,IF(N6="&gt;16%&lt;30%",F40,IF(N6="&gt;30%&lt;40%",F41,IF(N6="&gt;40%&lt;50%",F42,IF(N6="&gt;50%&lt;60%",F43,IF(N6="&gt;60%&lt;70%",F44,IF(N6="&gt;70%&lt;84%",F45,F45)))))))</f>
        <v>3169.7863849222272</v>
      </c>
      <c r="R6" s="122">
        <v>5</v>
      </c>
      <c r="S6" s="119" t="s">
        <v>81</v>
      </c>
      <c r="T6" s="119">
        <v>267.38</v>
      </c>
      <c r="U6" s="119"/>
      <c r="V6" s="182" t="s">
        <v>262</v>
      </c>
      <c r="W6" s="183">
        <v>4</v>
      </c>
      <c r="X6" s="308">
        <v>0.1</v>
      </c>
      <c r="Y6" s="308">
        <v>0.1</v>
      </c>
      <c r="Z6" s="308">
        <v>0.1</v>
      </c>
      <c r="AA6" s="308">
        <v>0.1</v>
      </c>
      <c r="AB6" s="308">
        <v>0.04</v>
      </c>
      <c r="AC6" s="308">
        <v>2</v>
      </c>
      <c r="AD6" s="308" t="s">
        <v>223</v>
      </c>
      <c r="AE6" s="308" t="s">
        <v>223</v>
      </c>
      <c r="AF6" s="308" t="s">
        <v>223</v>
      </c>
      <c r="AG6" s="308" t="s">
        <v>223</v>
      </c>
      <c r="AH6" s="308">
        <v>2</v>
      </c>
    </row>
    <row r="7" spans="1:35" ht="13.5" thickBot="1" x14ac:dyDescent="0.25">
      <c r="A7" s="6" t="s">
        <v>54</v>
      </c>
      <c r="B7" t="s">
        <v>60</v>
      </c>
      <c r="E7" s="3"/>
      <c r="F7" s="66">
        <v>414.1</v>
      </c>
      <c r="I7" s="124"/>
      <c r="J7" s="125" t="s">
        <v>196</v>
      </c>
      <c r="K7" s="126">
        <f>(POWER(G$4,C46)*H$4)</f>
        <v>14789.201509055989</v>
      </c>
      <c r="L7" s="125" t="str">
        <f>IF(K7&gt;F52,"&gt;84%",IF(K7&gt;F51,"&gt;70%&lt;84%",IF(K7&gt;F50,"&gt;60%&lt;70%",IF(K7&gt;F49,"&gt;50%&lt;60%",IF(K7&gt;F48,"&gt;40%&lt;50%",IF(K7&gt;F47,"&gt;30%&lt;40%",IF(K7&gt;F46,"&gt;16%&lt;30%","&lt;16%")))))))</f>
        <v>&gt;84%</v>
      </c>
      <c r="M7" s="125" t="str">
        <f>IF(K7&gt;F59,"&gt;84%",IF(K7&gt;F60,"&gt;70%&lt;84%",IF(K7&gt;F58,"&gt;60%&lt;70%",IF(K7&gt;F57,"&gt;50%&lt;60%",IF(K7&gt;F56,"&gt;40%&lt;50%",IF(K7&gt;F55,"&gt;30%&lt;40%",IF(K7&gt;F54,"&gt;16%&lt;30%","&lt;16%")))))))</f>
        <v>&gt;84%</v>
      </c>
      <c r="N7" s="125" t="str">
        <f>IF(K7&gt;F66,"&gt;84%",IF(K7&gt;F65,"&gt;70%&lt;84%",IF(K7&gt;F64,"&gt;60%&lt;70%",IF(K7&gt;F63,"&gt;50%&lt;60%",IF(K7&gt;F62,"&gt;40%&lt;50%",IF(K7&gt;F61,"&gt;30%&lt;40%",IF(K7&gt;F60,"&gt;16%&lt;30%","&lt;16%")))))))</f>
        <v>&gt;84%</v>
      </c>
      <c r="O7" s="127">
        <f>IF(L7="&lt;16%",F46,IF(L7="&gt;16%&lt;30%",F47,IF(L7="&gt;30%&lt;40%",F48,IF(L7="&gt;40%&lt;50%",F49,IF(L7="&gt;50%&lt;60%",F50,IF(L7="&gt;60%&lt;70%",F51,IF(L7="&gt;70%&lt;84%",F52,F52)))))))</f>
        <v>11886.698943458352</v>
      </c>
      <c r="P7" s="127">
        <f>IF(M7="&lt;16%",F53,IF(M7="&gt;16%&lt;30%",F54,IF(M7="&gt;30%&lt;40%",F55,IF(M7="&gt;40%&lt;50%",F56,IF(M7="&gt;50%&lt;60%",F57,IF(M7="&gt;60%&lt;70%",F58,IF(M7="&gt;70%&lt;84%",F59,F59)))))))</f>
        <v>9509.359154766682</v>
      </c>
      <c r="Q7" s="128">
        <f>IF(N7="&lt;16%",F60,IF(N7="&gt;16%&lt;30%",F61,IF(N7="&gt;30%&lt;40%",F62,IF(N7="&gt;40%&lt;50%",F63,IF(N7="&gt;50%&lt;60%",F64,IF(N7="&gt;60%&lt;70%",F65,IF(N7="&gt;70%&lt;84%",F66,F66)))))))</f>
        <v>1584.8931924611136</v>
      </c>
      <c r="R7" s="122">
        <v>6</v>
      </c>
      <c r="S7" s="119" t="s">
        <v>629</v>
      </c>
      <c r="T7" s="119">
        <v>159.08000000000001</v>
      </c>
      <c r="U7" s="119"/>
      <c r="V7" s="182" t="s">
        <v>263</v>
      </c>
      <c r="W7" s="183">
        <v>5</v>
      </c>
      <c r="X7" s="308">
        <v>0.02</v>
      </c>
      <c r="Y7" s="308">
        <v>0.02</v>
      </c>
      <c r="Z7" s="308">
        <v>0.02</v>
      </c>
      <c r="AA7" s="308">
        <v>0.02</v>
      </c>
      <c r="AB7" s="308">
        <v>0.02</v>
      </c>
      <c r="AC7" s="308">
        <v>0.2</v>
      </c>
      <c r="AD7" s="308" t="s">
        <v>223</v>
      </c>
      <c r="AE7" s="308" t="s">
        <v>223</v>
      </c>
      <c r="AF7" s="308" t="s">
        <v>223</v>
      </c>
      <c r="AG7" s="308" t="s">
        <v>223</v>
      </c>
      <c r="AH7" s="308">
        <v>0.8</v>
      </c>
    </row>
    <row r="8" spans="1:35" ht="13.5" thickBot="1" x14ac:dyDescent="0.25">
      <c r="A8" s="6" t="s">
        <v>54</v>
      </c>
      <c r="B8" t="s">
        <v>61</v>
      </c>
      <c r="C8">
        <v>1.5</v>
      </c>
      <c r="D8">
        <v>12</v>
      </c>
      <c r="E8" s="3">
        <v>0.25</v>
      </c>
      <c r="F8" s="65">
        <f>F7*POWER(10,C8*E8/D8)</f>
        <v>444.99510170785754</v>
      </c>
      <c r="I8" s="124"/>
      <c r="J8" s="125"/>
      <c r="K8" s="126"/>
      <c r="L8" s="125"/>
      <c r="M8" s="125"/>
      <c r="N8" s="125"/>
      <c r="O8" s="127"/>
      <c r="P8" s="127"/>
      <c r="Q8" s="128"/>
      <c r="R8" s="122">
        <v>7</v>
      </c>
      <c r="S8" s="119" t="s">
        <v>631</v>
      </c>
      <c r="T8" s="119">
        <v>170.08</v>
      </c>
      <c r="U8" s="119"/>
      <c r="V8" s="182" t="s">
        <v>264</v>
      </c>
      <c r="W8" s="183">
        <v>6</v>
      </c>
      <c r="X8" s="308">
        <v>0.1</v>
      </c>
      <c r="Y8" s="308">
        <v>0.1</v>
      </c>
      <c r="Z8" s="308">
        <v>0.1</v>
      </c>
      <c r="AA8" s="308">
        <v>0.1</v>
      </c>
      <c r="AB8" s="308">
        <v>0.1</v>
      </c>
      <c r="AC8" s="308">
        <v>0.1</v>
      </c>
      <c r="AD8" s="308">
        <v>0.1</v>
      </c>
      <c r="AE8" s="308" t="s">
        <v>223</v>
      </c>
      <c r="AF8" s="308" t="s">
        <v>223</v>
      </c>
      <c r="AG8" s="308" t="s">
        <v>223</v>
      </c>
      <c r="AH8" s="308" t="s">
        <v>223</v>
      </c>
    </row>
    <row r="9" spans="1:35" ht="13.5" thickBot="1" x14ac:dyDescent="0.25">
      <c r="A9" s="6" t="s">
        <v>54</v>
      </c>
      <c r="B9" t="s">
        <v>62</v>
      </c>
      <c r="C9">
        <v>1.5</v>
      </c>
      <c r="D9">
        <v>12</v>
      </c>
      <c r="E9" s="3">
        <v>0.52</v>
      </c>
      <c r="F9" s="65">
        <f>F7*POWER(10,C9*E9/D9)</f>
        <v>480.95587099128596</v>
      </c>
      <c r="I9" s="124" t="s">
        <v>78</v>
      </c>
      <c r="J9" s="125" t="s">
        <v>95</v>
      </c>
      <c r="K9" s="126">
        <f>(POWER(G$4,C$67)*H$4)</f>
        <v>116094.45277697644</v>
      </c>
      <c r="L9" s="125" t="str">
        <f>IF(K9&gt;F73,"&gt;84%",IF(K9&gt;F72,"&gt;70%&lt;84%",IF(K9&gt;F71,"&gt;60%&lt;70%",IF(K9&gt;F70,"&gt;50%&lt;60%",IF(K9&gt;F69,"&gt;40%&lt;50%",IF(K9&gt;F68,"&gt;30%&lt;40%",IF(K9&gt;F67,"&gt;16%&lt;30%","&lt;16%")))))))</f>
        <v>&gt;84%</v>
      </c>
      <c r="M9" s="125" t="str">
        <f>IF(K9&gt;F80,"&gt;84%",IF(K9&gt;F79,"&gt;70%&lt;84%",IF(K9&gt;F78,"&gt;60%&lt;70%",IF(K9&gt;F77,"&gt;50%&lt;60%",IF(K9&gt;F76,"&gt;40%&lt;50%",IF(K9&gt;F75,"&gt;30%&lt;40%",IF(K9&gt;F74,"&gt;16%&lt;30%","&lt;16%")))))))</f>
        <v>&gt;84%</v>
      </c>
      <c r="N9" s="125"/>
      <c r="O9" s="127">
        <f>IF(L9="&lt;16%",F67,IF(L9="&gt;16%&lt;30%",F68,IF(L9="&gt;30%&lt;40%",F69,IF(L9="&gt;40%&lt;50%",F70,IF(L9="&gt;50%&lt;60%",F71,IF(L9="&gt;60%&lt;70%",F72,IF(L9="&gt;70%&lt;84%",F73,F73)))))))</f>
        <v>195.22753766871062</v>
      </c>
      <c r="P9" s="127">
        <f>IF(M9="&lt;16%",F74,IF(M9="&gt;16%&lt;30%",F75,IF(M9="&gt;30%&lt;40%",F76,IF(M9="&gt;40%&lt;50%",F77,IF(M9="&gt;50%&lt;60%",F78,IF(M9="&gt;60%&lt;70%",F79,IF(M9="&gt;70%&lt;84%",F80,F80)))))))</f>
        <v>117.8699593889162</v>
      </c>
      <c r="Q9" s="128"/>
      <c r="R9" s="122">
        <v>8</v>
      </c>
      <c r="S9" s="326" t="s">
        <v>633</v>
      </c>
      <c r="T9" s="119">
        <v>156.05000000000001</v>
      </c>
      <c r="U9" s="119"/>
      <c r="V9" s="182" t="s">
        <v>265</v>
      </c>
      <c r="W9" s="183">
        <v>7</v>
      </c>
      <c r="X9" s="308">
        <v>0.1</v>
      </c>
      <c r="Y9" s="308">
        <v>0.1</v>
      </c>
      <c r="Z9" s="308">
        <v>0.1</v>
      </c>
      <c r="AA9" s="308">
        <v>0.1</v>
      </c>
      <c r="AB9" s="308">
        <v>0.1</v>
      </c>
      <c r="AC9" s="308">
        <v>0.1</v>
      </c>
      <c r="AD9" s="308">
        <v>0.1</v>
      </c>
      <c r="AE9" s="308" t="s">
        <v>223</v>
      </c>
      <c r="AF9" s="308" t="s">
        <v>223</v>
      </c>
      <c r="AG9" s="308" t="s">
        <v>223</v>
      </c>
      <c r="AH9" s="308" t="s">
        <v>223</v>
      </c>
      <c r="AI9" s="26"/>
    </row>
    <row r="10" spans="1:35" ht="13.5" thickBot="1" x14ac:dyDescent="0.25">
      <c r="A10" s="6" t="s">
        <v>54</v>
      </c>
      <c r="B10" t="s">
        <v>63</v>
      </c>
      <c r="C10">
        <v>1.5</v>
      </c>
      <c r="D10">
        <v>12</v>
      </c>
      <c r="E10">
        <v>1</v>
      </c>
      <c r="F10" s="65">
        <f>F7*POWER(10,C10*E10/D10)</f>
        <v>552.2112250588325</v>
      </c>
      <c r="I10" s="124"/>
      <c r="J10" s="125" t="s">
        <v>96</v>
      </c>
      <c r="K10" s="126">
        <f>(POWER(G$4,C$81)*H$4)</f>
        <v>116094.45277697644</v>
      </c>
      <c r="L10" s="125"/>
      <c r="M10" s="125"/>
      <c r="N10" s="125" t="str">
        <f>IF(K9&gt;F87,"&gt;84%",IF(K9&gt;F86,"&gt;70%&lt;84%",IF(K9&gt;F85,"&gt;60%&lt;70%",IF(K9&gt;F84,"&gt;50%&lt;60%",IF(K9&gt;F83,"&gt;40%&lt;50%",IF(K9&gt;F82,"&gt;30%&lt;40%",IF(K9&gt;F81,"&gt;16%&lt;30%","&lt;16%")))))))</f>
        <v>&gt;84%</v>
      </c>
      <c r="O10" s="127"/>
      <c r="P10" s="127"/>
      <c r="Q10" s="128">
        <f>IF(N10="&lt;16%",F81,IF(N10="&gt;16%&lt;30%",F82,IF(N10="&gt;30%&lt;40%",F83,IF(N10="&gt;40%&lt;50%",F84,IF(N10="&gt;50%&lt;60%",F85,IF(N10="&gt;60%&lt;70%",F86,IF(N10="&gt;70%&lt;84%",F87,F87)))))))</f>
        <v>0.21470570678265866</v>
      </c>
      <c r="R10" s="122">
        <v>9</v>
      </c>
      <c r="S10" s="326" t="s">
        <v>632</v>
      </c>
      <c r="T10" s="119">
        <v>204.53</v>
      </c>
      <c r="U10" s="119"/>
      <c r="V10" s="182" t="s">
        <v>612</v>
      </c>
      <c r="W10" s="183">
        <v>8</v>
      </c>
      <c r="X10" s="308">
        <v>1E-3</v>
      </c>
      <c r="Y10" s="308">
        <v>1E-3</v>
      </c>
      <c r="Z10" s="308">
        <v>1E-3</v>
      </c>
      <c r="AA10" s="308">
        <v>1E-3</v>
      </c>
      <c r="AB10" s="308">
        <v>1E-3</v>
      </c>
      <c r="AC10" s="308">
        <v>0.02</v>
      </c>
      <c r="AD10" s="308" t="s">
        <v>223</v>
      </c>
      <c r="AE10" s="308" t="s">
        <v>223</v>
      </c>
      <c r="AF10" s="308">
        <v>0.02</v>
      </c>
      <c r="AG10" s="308" t="s">
        <v>223</v>
      </c>
      <c r="AH10" s="308">
        <v>0.02</v>
      </c>
      <c r="AI10" s="26"/>
    </row>
    <row r="11" spans="1:35" ht="13.5" thickBot="1" x14ac:dyDescent="0.25">
      <c r="A11" s="6" t="s">
        <v>54</v>
      </c>
      <c r="B11" t="s">
        <v>70</v>
      </c>
      <c r="C11">
        <v>1.5</v>
      </c>
      <c r="D11">
        <v>10</v>
      </c>
      <c r="E11">
        <v>-1</v>
      </c>
      <c r="F11" s="65">
        <f>F14*POWER(10,C11*E11/D11)</f>
        <v>176.98644609603448</v>
      </c>
      <c r="I11" s="124"/>
      <c r="J11" s="125" t="s">
        <v>143</v>
      </c>
      <c r="K11" s="126">
        <f>(POWER(G$4,C91)*H$4)</f>
        <v>14789.201509055989</v>
      </c>
      <c r="L11" s="125" t="str">
        <f>IF(K11&gt;F94,"&gt;84%",IF(K11&gt;F93,"&gt;70%&lt;84%",IF(K11&gt;F92,"&gt;60%&lt;70%",IF(K11&gt;F91,"&gt;50%&lt;60%",IF(K11&gt;F90,"&gt;40%&lt;50%",IF(K11&gt;F89,"&gt;30%&lt;40%",IF(K11&gt;F88,"&gt;16%&lt;30%","&lt;16%")))))))</f>
        <v>&gt;60%&lt;70%</v>
      </c>
      <c r="M11" s="125" t="str">
        <f>IF(K11&gt;F101,"&gt;84%",IF(K11&gt;F100,"&gt;70%&lt;84%",IF(K11&gt;F99,"&gt;60%&lt;70%",IF(K11&gt;F98,"&gt;50%&lt;60%",IF(K11&gt;F97,"&gt;40%&lt;50%",IF(K11&gt;F96,"&gt;30%&lt;40%",IF(K11&gt;F95,"&gt;16%&lt;30%","&lt;16%")))))))</f>
        <v>&gt;84%</v>
      </c>
      <c r="N11" s="125" t="str">
        <f>IF(K11&gt;F107,"&gt;84%",IF(K11&gt;F108,"&gt;70%&lt;84%",IF(K11&gt;F106,"&gt;60%&lt;70%",IF(K11&gt;F105,"&gt;50%&lt;60%",IF(K11&gt;F104,"&gt;40%&lt;50%",IF(K11&gt;F103,"&gt;30%&lt;40%",IF(K11&gt;F102,"&gt;16%&lt;30%","&lt;16%")))))))</f>
        <v>&gt;84%</v>
      </c>
      <c r="O11" s="127">
        <f>IF(L11="&lt;16%",F88,IF(L11="&gt;16%&lt;30%",F89,IF(L11="&gt;30%&lt;40%",F90,IF(L11="&gt;40%&lt;50%",F91,IF(L11="&gt;50%&lt;60%",F92,IF(L11="&gt;60%&lt;70%",F93,IF(L11="&gt;70%&lt;84%",F94,F94)))))))</f>
        <v>15246.889262502502</v>
      </c>
      <c r="P11" s="127">
        <f>IF(M11="&lt;16%",F95,IF(M11="&gt;16%&lt;30%",F96,IF(M11="&gt;30%&lt;40%",F97,IF(M11="&gt;40%&lt;50%",F98,IF(M11="&gt;50%&lt;60%",F99,IF(M11="&gt;60%&lt;70%",F100,IF(M11="&gt;70%&lt;84%",F2271,F101)))))))</f>
        <v>12679.145539688909</v>
      </c>
      <c r="Q11" s="128">
        <f>IF(N11="&lt;16%",F102,IF(N11="&gt;16%&lt;30%",F103,IF(N11="&gt;30%&lt;40%",F104,IF(N11="&gt;40%&lt;50%",F105,IF(N11="&gt;50%&lt;60%",F106,IF(N11="&gt;60%&lt;70%",F107,IF(N11="&gt;70%&lt;84%",F108,F108)))))))</f>
        <v>1901.8718309533363</v>
      </c>
      <c r="R11" s="122">
        <v>10</v>
      </c>
      <c r="S11" s="122" t="s">
        <v>630</v>
      </c>
      <c r="T11" s="119">
        <v>422.3</v>
      </c>
      <c r="U11" s="119"/>
      <c r="V11" s="182" t="s">
        <v>272</v>
      </c>
      <c r="W11" s="183">
        <v>9</v>
      </c>
      <c r="X11" s="308">
        <v>66.2</v>
      </c>
      <c r="Y11" s="308">
        <v>57.3</v>
      </c>
      <c r="Z11" s="308">
        <v>74.5</v>
      </c>
      <c r="AA11" s="308">
        <v>73.7</v>
      </c>
      <c r="AB11" s="308" t="s">
        <v>223</v>
      </c>
      <c r="AC11" s="308">
        <v>65.099999999999994</v>
      </c>
      <c r="AD11" s="308" t="s">
        <v>223</v>
      </c>
      <c r="AE11" s="308" t="s">
        <v>223</v>
      </c>
      <c r="AF11" s="308" t="s">
        <v>223</v>
      </c>
      <c r="AG11" s="308" t="s">
        <v>223</v>
      </c>
      <c r="AH11" s="308" t="s">
        <v>223</v>
      </c>
      <c r="AI11" s="26"/>
    </row>
    <row r="12" spans="1:35" ht="13.5" thickBot="1" x14ac:dyDescent="0.25">
      <c r="A12" s="6" t="s">
        <v>54</v>
      </c>
      <c r="B12" t="s">
        <v>64</v>
      </c>
      <c r="C12">
        <v>1.5</v>
      </c>
      <c r="D12">
        <v>10</v>
      </c>
      <c r="E12" s="3">
        <v>-0.52</v>
      </c>
      <c r="F12" s="65">
        <f>F14*POWER(10,C12*E12/D12)</f>
        <v>208.90075455781201</v>
      </c>
      <c r="I12" s="124"/>
      <c r="J12" s="125" t="s">
        <v>196</v>
      </c>
      <c r="K12" s="126">
        <f>(POWER(G$4,C112)*H$4)</f>
        <v>14789.201509055989</v>
      </c>
      <c r="L12" s="125" t="str">
        <f>IF(K12&gt;F115,"&gt;84%",IF(K12&gt;F114,"&gt;70%&lt;84%",IF(K12&gt;F113,"&gt;60%&lt;70%",IF(K12&gt;F112,"&gt;50%&lt;60%",IF(K12&gt;F111,"&gt;40%&lt;50%",IF(K12&gt;F110,"&gt;30%&lt;40%",IF(K12&gt;F109,"&gt;16%&lt;30%","&lt;16%")))))))</f>
        <v>&gt;84%</v>
      </c>
      <c r="M12" s="125" t="str">
        <f>IF(K12&gt;F122,"&gt;84%",IF(K12&gt;F121,"&gt;70%&lt;84%",IF(K12&gt;F120,"&gt;60%&lt;70%",IF(K12&gt;F119,"&gt;50%&lt;60%",IF(K12&gt;F118,"&gt;40%&lt;50%",IF(K12&gt;F117,"&gt;30%&lt;40%",IF(K12&gt;F116,"&gt;16%&lt;30%","&lt;16%")))))))</f>
        <v>&gt;84%</v>
      </c>
      <c r="N12" s="125" t="str">
        <f>IF(K12&gt;F129,"&gt;84%",IF(K12&gt;F128,"&gt;70%&lt;84%",IF(K12&gt;F127,"&gt;60%&lt;70%",IF(K12&gt;F126,"&gt;50%&lt;60%",IF(K12&gt;F125,"&gt;40%&lt;50%",IF(K12&gt;F124,"&gt;30%&lt;40%",IF(K12&gt;F123,"&gt;16%&lt;30%","&lt;16%")))))))</f>
        <v>&gt;84%</v>
      </c>
      <c r="O12" s="127">
        <f>IF(L12="&lt;16%",F109,IF(L12="&gt;16%&lt;30%",F110,IF(L12="&gt;30%&lt;40%",F111,IF(L12="&gt;40%&lt;50%",F112,IF(L12="&gt;50%&lt;60%",F113,IF(L12="&gt;60%&lt;70%",F114,IF(L12="&gt;70%&lt;84%",F115,F115)))))))</f>
        <v>9509.359154766682</v>
      </c>
      <c r="P12" s="127">
        <f>IF(M12="&lt;16%",F116,IF(M12="&gt;16%&lt;30%",F117,IF(M12="&gt;30%&lt;40%",F118,IF(M12="&gt;40%&lt;50%",F119,IF(M12="&gt;50%&lt;60%",F120,IF(M12="&gt;60%&lt;70%",F121,IF(M12="&gt;70%&lt;84%",F122,F122)))))))</f>
        <v>6339.5727698444543</v>
      </c>
      <c r="Q12" s="128">
        <f>IF(N12="&lt;16%",F123,IF(N12="&gt;16%&lt;30%",F124,IF(N12="&gt;30%&lt;40%",F125,IF(N12="&gt;40%&lt;50%",F126,IF(N12="&gt;50%&lt;60%",F127,IF(N12="&gt;60%&lt;70%",F128,IF(N12="&gt;70%&lt;84%",F129,F129)))))))</f>
        <v>950.93591547666813</v>
      </c>
      <c r="R12" s="122">
        <v>11</v>
      </c>
      <c r="S12" s="326" t="s">
        <v>628</v>
      </c>
      <c r="T12" s="119">
        <v>207.32</v>
      </c>
      <c r="U12" s="119"/>
      <c r="V12" s="182" t="s">
        <v>267</v>
      </c>
      <c r="W12" s="183">
        <v>10</v>
      </c>
      <c r="X12" s="309">
        <v>8.9099999999999999E-2</v>
      </c>
      <c r="Y12" s="309">
        <v>6.1000000000000004E-3</v>
      </c>
      <c r="Z12" s="309">
        <v>1.43E-2</v>
      </c>
      <c r="AA12" s="309">
        <v>3.1099999999999999E-2</v>
      </c>
      <c r="AB12" s="308" t="s">
        <v>223</v>
      </c>
      <c r="AC12" s="309">
        <v>8.9999999999999998E-4</v>
      </c>
      <c r="AD12" s="308" t="s">
        <v>223</v>
      </c>
      <c r="AE12" s="308" t="s">
        <v>223</v>
      </c>
      <c r="AF12" s="308" t="s">
        <v>223</v>
      </c>
      <c r="AG12" s="308" t="s">
        <v>223</v>
      </c>
      <c r="AH12" s="308" t="s">
        <v>223</v>
      </c>
      <c r="AI12" s="26"/>
    </row>
    <row r="13" spans="1:35" ht="13.5" thickBot="1" x14ac:dyDescent="0.25">
      <c r="A13" s="6" t="s">
        <v>54</v>
      </c>
      <c r="B13" t="s">
        <v>65</v>
      </c>
      <c r="C13">
        <v>1.5</v>
      </c>
      <c r="D13">
        <v>10</v>
      </c>
      <c r="E13" s="3">
        <v>-0.25</v>
      </c>
      <c r="F13" s="65">
        <f>F14*POWER(10,C13*E13/D13)</f>
        <v>229.31898384744488</v>
      </c>
      <c r="I13" s="124"/>
      <c r="J13" s="125"/>
      <c r="K13" s="126"/>
      <c r="L13" s="125"/>
      <c r="M13" s="125"/>
      <c r="N13" s="125"/>
      <c r="O13" s="127"/>
      <c r="P13" s="127"/>
      <c r="Q13" s="128"/>
      <c r="S13" s="119"/>
      <c r="T13" s="119"/>
      <c r="V13" s="182" t="s">
        <v>268</v>
      </c>
      <c r="W13" s="183">
        <v>11</v>
      </c>
      <c r="X13" s="309">
        <v>1.78E-2</v>
      </c>
      <c r="Y13" s="309">
        <v>1.1999999999999999E-3</v>
      </c>
      <c r="Z13" s="309">
        <v>2.8999999999999998E-3</v>
      </c>
      <c r="AA13" s="309">
        <v>6.1999999999999998E-3</v>
      </c>
      <c r="AB13" s="308" t="s">
        <v>223</v>
      </c>
      <c r="AC13" s="309">
        <v>2.0000000000000001E-4</v>
      </c>
      <c r="AD13" s="308" t="s">
        <v>223</v>
      </c>
      <c r="AE13" s="308" t="s">
        <v>223</v>
      </c>
      <c r="AF13" s="308" t="s">
        <v>223</v>
      </c>
      <c r="AG13" s="308" t="s">
        <v>223</v>
      </c>
      <c r="AH13" s="308" t="s">
        <v>223</v>
      </c>
      <c r="AI13" s="26"/>
    </row>
    <row r="14" spans="1:35" ht="13.5" thickBot="1" x14ac:dyDescent="0.25">
      <c r="A14" s="6" t="s">
        <v>54</v>
      </c>
      <c r="B14" t="s">
        <v>66</v>
      </c>
      <c r="E14" s="3"/>
      <c r="F14" s="66">
        <v>250</v>
      </c>
      <c r="I14" s="124" t="s">
        <v>79</v>
      </c>
      <c r="J14" s="125" t="s">
        <v>95</v>
      </c>
      <c r="K14" s="126">
        <f>(POWER(G$4,C$130)*H$4)</f>
        <v>41436.026066724735</v>
      </c>
      <c r="L14" s="125" t="str">
        <f>IF(K14&gt;F136,"&gt;84%",IF(K14&gt;F135,"&gt;70%&lt;84%",IF(K14&gt;F134,"&gt;60%&lt;70%",IF(K14&gt;F133,"&gt;50%&lt;60%",IF(K14&gt;F132,"&gt;40%&lt;50%",IF(K14&gt;F131,"&gt;30%&lt;40%",IF(K14&gt;F130,"&gt;16%&lt;30%","&lt;16%")))))))</f>
        <v>&gt;84%</v>
      </c>
      <c r="M14" s="125" t="str">
        <f>IF(K14&gt;F143,"&gt;84%",IF(K14&gt;F142,"&gt;70%&lt;84%",IF(K14&gt;F141,"&gt;60%&lt;70%",IF(K14&gt;F140,"&gt;50%&lt;60%",IF(K14&gt;F139,"&gt;40%&lt;50%",IF(K14&gt;F138,"&gt;30%&lt;40%",IF(K14&gt;F137,"&gt;16%&lt;30%","&lt;16%")))))))</f>
        <v>&gt;84%</v>
      </c>
      <c r="N14" s="125"/>
      <c r="O14" s="127">
        <f>IF(L14="&lt;16%",F130,IF(L14="&gt;16%&lt;30%",F131,IF(L14="&gt;30%&lt;40%",F132,IF(L14="&gt;40%&lt;50%",F133,IF(L14="&gt;50%&lt;60%",F134,IF(L14="&gt;60%&lt;70%",F135,IF(L14="&gt;70%&lt;84%",F136,F136)))))))</f>
        <v>91.00802485241573</v>
      </c>
      <c r="P14" s="127">
        <f>IF(M14="&lt;16%",F137,IF(M14="&gt;16%&lt;30%",F138,IF(M14="&gt;30%&lt;40%",F139,IF(M14="&gt;40%&lt;50%",F140,IF(M14="&gt;50%&lt;60%",F141,IF(M14="&gt;60%&lt;70%",F142,IF(M14="&gt;70%&lt;84%",F143,F143)))))))</f>
        <v>59.739904581893008</v>
      </c>
      <c r="Q14" s="128"/>
      <c r="R14" s="119"/>
      <c r="S14" s="119"/>
      <c r="T14" s="119"/>
      <c r="V14" s="182" t="s">
        <v>269</v>
      </c>
      <c r="W14" s="183">
        <v>12</v>
      </c>
      <c r="X14" s="309">
        <v>4.4999999999999997E-3</v>
      </c>
      <c r="Y14" s="309">
        <v>2.9999999999999997E-4</v>
      </c>
      <c r="Z14" s="309">
        <v>6.9999999999999999E-4</v>
      </c>
      <c r="AA14" s="309">
        <v>1.6000000000000001E-3</v>
      </c>
      <c r="AB14" s="308" t="s">
        <v>223</v>
      </c>
      <c r="AC14" s="310">
        <v>4.0000000000000003E-5</v>
      </c>
      <c r="AD14" s="308" t="s">
        <v>223</v>
      </c>
      <c r="AE14" s="308" t="s">
        <v>223</v>
      </c>
      <c r="AF14" s="308" t="s">
        <v>223</v>
      </c>
      <c r="AG14" s="308" t="s">
        <v>223</v>
      </c>
      <c r="AH14" s="308" t="s">
        <v>223</v>
      </c>
    </row>
    <row r="15" spans="1:35" ht="13.5" thickBot="1" x14ac:dyDescent="0.25">
      <c r="A15" s="6" t="s">
        <v>54</v>
      </c>
      <c r="B15" t="s">
        <v>67</v>
      </c>
      <c r="C15">
        <v>1.5</v>
      </c>
      <c r="D15">
        <v>10</v>
      </c>
      <c r="E15" s="3">
        <v>0.25</v>
      </c>
      <c r="F15" s="65">
        <f>F14*POWER(10,C15*E15/D15)</f>
        <v>272.54612309628192</v>
      </c>
      <c r="I15" s="124"/>
      <c r="J15" s="125" t="s">
        <v>96</v>
      </c>
      <c r="K15" s="126">
        <f>(POWER(G$4,C$144)*H$4)</f>
        <v>76884.38066786158</v>
      </c>
      <c r="L15" s="125"/>
      <c r="M15" s="125"/>
      <c r="N15" s="125" t="str">
        <f>IF(K15&gt;F150,"&gt;84%",IF(K15&gt;F149,"&gt;70%&lt;84%",IF(K15&gt;F148,"&gt;60%&lt;70%",IF(K15&gt;F147,"&gt;50%&lt;60%",IF(K15&gt;F146,"&gt;40%&lt;50%",IF(K15&gt;F145,"&gt;30%&lt;40%",IF(K15&gt;F144,"&gt;16%&lt;30%","&lt;16%")))))))</f>
        <v>&gt;84%</v>
      </c>
      <c r="O15" s="127"/>
      <c r="P15" s="127"/>
      <c r="Q15" s="128">
        <f>IF(N15="&lt;16%",F144,IF(N15="&gt;16%&lt;30%",F145,IF(N15="&gt;30%&lt;40%",F146,IF(N15="&gt;40%&lt;50%",F147,IF(N15="&gt;50%&lt;60%",F148,IF(N15="&gt;60%&lt;70%",F149,IF(N15="&gt;70%&lt;84%",F150,F150)))))))</f>
        <v>0.11043074116823079</v>
      </c>
      <c r="U15" s="119"/>
      <c r="V15" s="179" t="s">
        <v>508</v>
      </c>
      <c r="W15" s="183">
        <v>13</v>
      </c>
      <c r="X15" s="311">
        <v>0.124</v>
      </c>
      <c r="Y15" s="311">
        <v>1.4E-2</v>
      </c>
      <c r="Z15" s="311">
        <v>0.02</v>
      </c>
      <c r="AA15" s="311">
        <v>8.0000000000000002E-3</v>
      </c>
      <c r="AB15" s="311">
        <v>1.2E-2</v>
      </c>
      <c r="AC15" s="311">
        <v>1.6E-2</v>
      </c>
      <c r="AD15" s="308" t="s">
        <v>223</v>
      </c>
      <c r="AE15" s="308" t="s">
        <v>223</v>
      </c>
      <c r="AF15" s="308" t="s">
        <v>223</v>
      </c>
      <c r="AG15" s="308" t="s">
        <v>223</v>
      </c>
      <c r="AH15" s="308" t="s">
        <v>223</v>
      </c>
    </row>
    <row r="16" spans="1:35" ht="13.5" thickBot="1" x14ac:dyDescent="0.25">
      <c r="A16" s="6" t="s">
        <v>54</v>
      </c>
      <c r="B16" t="s">
        <v>68</v>
      </c>
      <c r="C16">
        <v>1.5</v>
      </c>
      <c r="D16">
        <v>10</v>
      </c>
      <c r="E16" s="3">
        <v>0.52</v>
      </c>
      <c r="F16" s="65">
        <f>F14*POWER(10,C16*E16/D16)</f>
        <v>299.18513282681084</v>
      </c>
      <c r="I16" s="124"/>
      <c r="J16" s="125"/>
      <c r="K16" s="126"/>
      <c r="L16" s="125"/>
      <c r="M16" s="125"/>
      <c r="N16" s="125"/>
      <c r="O16" s="127"/>
      <c r="P16" s="127"/>
      <c r="Q16" s="128"/>
      <c r="U16" s="119"/>
      <c r="V16" s="179" t="s">
        <v>509</v>
      </c>
      <c r="W16" s="183">
        <v>14</v>
      </c>
      <c r="X16" s="311">
        <v>2.4799999999999999E-2</v>
      </c>
      <c r="Y16" s="311">
        <v>2.8E-3</v>
      </c>
      <c r="Z16" s="311">
        <v>4.0000000000000001E-3</v>
      </c>
      <c r="AA16" s="311">
        <v>1.6000000000000001E-3</v>
      </c>
      <c r="AB16" s="311">
        <v>2.3999999999999998E-3</v>
      </c>
      <c r="AC16" s="311">
        <v>3.2000000000000002E-3</v>
      </c>
      <c r="AD16" s="308" t="s">
        <v>223</v>
      </c>
      <c r="AE16" s="308" t="s">
        <v>223</v>
      </c>
      <c r="AF16" s="308" t="s">
        <v>223</v>
      </c>
      <c r="AG16" s="308" t="s">
        <v>223</v>
      </c>
      <c r="AH16" s="308" t="s">
        <v>223</v>
      </c>
    </row>
    <row r="17" spans="1:34" ht="13.5" thickBot="1" x14ac:dyDescent="0.25">
      <c r="A17" s="6" t="s">
        <v>54</v>
      </c>
      <c r="B17" t="s">
        <v>69</v>
      </c>
      <c r="C17">
        <v>1.5</v>
      </c>
      <c r="D17">
        <v>10</v>
      </c>
      <c r="E17">
        <v>1</v>
      </c>
      <c r="F17" s="65">
        <f>F14*POWER(10,C17*E17/D17)</f>
        <v>353.13438615568862</v>
      </c>
      <c r="I17" s="124" t="s">
        <v>80</v>
      </c>
      <c r="J17" s="125" t="s">
        <v>95</v>
      </c>
      <c r="K17" s="126">
        <f>(POWER(G$4,C$235)*H$4)</f>
        <v>41436.026066724735</v>
      </c>
      <c r="L17" s="125" t="str">
        <f>IF(K17&gt;F241,"&gt;84%",IF(K17&gt;F240,"&gt;70%&lt;84%",IF(K17&gt;F239,"&gt;60%&lt;70%",IF(K17&gt;F238,"&gt;50%&lt;60%",IF(K17&gt;F237,"&gt;40%&lt;50%",IF(K17&gt;F236,"&gt;30%&lt;40%",IF(K17&gt;F235,"&gt;16%&lt;30%","&lt;16%")))))))</f>
        <v>&gt;84%</v>
      </c>
      <c r="M17" s="125" t="str">
        <f>IF(K17&gt;F248,"&gt;84%",IF(K17&gt;F247,"&gt;70%&lt;84%",IF(K17&gt;F246,"&gt;60%&lt;70%",IF(K17&gt;F245,"&gt;50%&lt;60%",IF(K17&gt;F244,"&gt;40%&lt;50%",IF(K17&gt;F243,"&gt;30%&lt;40%",IF(K17&gt;F242,"&gt;16%&lt;30%","&lt;16%")))))))</f>
        <v>&gt;84%</v>
      </c>
      <c r="N17" s="125"/>
      <c r="O17" s="127">
        <f>IF(L17="&lt;16%",F235,IF(L17="&gt;16%&lt;30%",F236,IF(L17="&gt;30%&lt;40%",F237,IF(L17="&gt;40%&lt;50%",F238,IF(L17="&gt;50%&lt;60%",F239,IF(L17="&gt;60%&lt;70%",F240,IF(L17="&gt;70%&lt;84%",F241,F241)))))))</f>
        <v>91.00802485241573</v>
      </c>
      <c r="P17" s="127">
        <f>IF(M17="&lt;16%",F242,IF(M17="&gt;16%&lt;30%",F243,IF(M17="&gt;30%&lt;40%",F244,IF(M17="&gt;40%&lt;50%",F245,IF(M17="&gt;50%&lt;60%",F246,IF(M17="&gt;60%&lt;70%",F247,IF(M17="&gt;70%&lt;84%",F248,F248)))))))</f>
        <v>59.739904581893008</v>
      </c>
      <c r="Q17" s="128"/>
      <c r="U17" s="119"/>
      <c r="V17" s="179" t="s">
        <v>510</v>
      </c>
      <c r="W17" s="183">
        <v>15</v>
      </c>
      <c r="X17" s="311">
        <v>1.24E-2</v>
      </c>
      <c r="Y17" s="311">
        <v>1.4E-3</v>
      </c>
      <c r="Z17" s="311">
        <v>2E-3</v>
      </c>
      <c r="AA17" s="311">
        <v>8.0000000000000004E-4</v>
      </c>
      <c r="AB17" s="311">
        <v>1.1999999999999999E-3</v>
      </c>
      <c r="AC17" s="311">
        <v>1.6000000000000001E-3</v>
      </c>
      <c r="AD17" s="308" t="s">
        <v>223</v>
      </c>
      <c r="AE17" s="308" t="s">
        <v>223</v>
      </c>
      <c r="AF17" s="308" t="s">
        <v>223</v>
      </c>
      <c r="AG17" s="308" t="s">
        <v>223</v>
      </c>
      <c r="AH17" s="308" t="s">
        <v>223</v>
      </c>
    </row>
    <row r="18" spans="1:34" ht="13.5" thickBot="1" x14ac:dyDescent="0.25">
      <c r="A18" s="6" t="s">
        <v>54</v>
      </c>
      <c r="B18" t="s">
        <v>77</v>
      </c>
      <c r="C18">
        <v>1.6</v>
      </c>
      <c r="D18">
        <v>10</v>
      </c>
      <c r="E18">
        <v>-1</v>
      </c>
      <c r="F18" s="65">
        <f>F21*POWER(10,C18*E18/D18)</f>
        <v>0.10515830757967835</v>
      </c>
      <c r="I18" s="124"/>
      <c r="J18" s="125" t="s">
        <v>96</v>
      </c>
      <c r="K18" s="126">
        <f>(POWER(G$4,C$249)*H$4)</f>
        <v>76884.38066786158</v>
      </c>
      <c r="L18" s="125"/>
      <c r="M18" s="125"/>
      <c r="N18" s="125" t="str">
        <f>IF(K18&gt;F255,"&gt;84%",IF(K18&gt;F254,"&gt;70%&lt;84%",IF(K18&gt;F253,"&gt;60%&lt;70%",IF(K18&gt;F252,"&gt;50%&lt;60%",IF(K18&gt;F251,"&gt;40%&lt;50%",IF(K18&gt;F250,"&gt;30%&lt;40%",IF(K18&gt;F249,"&gt;16%&lt;30%","&lt;16%")))))))</f>
        <v>&gt;84%</v>
      </c>
      <c r="O18" s="127"/>
      <c r="P18" s="127"/>
      <c r="Q18" s="128">
        <f>IF(N18="&lt;16%",F249,IF(N18="&gt;16%&lt;30%",F250,IF(N18="&gt;30%&lt;40%",F251,IF(N18="&gt;40%&lt;50%",F252,IF(N18="&gt;50%&lt;60%",F253,IF(N18="&gt;60%&lt;70%",F254,IF(N18="&gt;70%&lt;84%",F255,F255)))))))</f>
        <v>0.11043074116823079</v>
      </c>
      <c r="U18" s="119"/>
      <c r="V18" s="179" t="s">
        <v>511</v>
      </c>
      <c r="W18" s="183">
        <v>16</v>
      </c>
      <c r="X18" s="311">
        <v>6.1999999999999998E-3</v>
      </c>
      <c r="Y18" s="311">
        <v>6.9999999999999999E-4</v>
      </c>
      <c r="Z18" s="311">
        <v>1E-3</v>
      </c>
      <c r="AA18" s="311">
        <v>4.0000000000000002E-4</v>
      </c>
      <c r="AB18" s="311">
        <v>5.9999999999999995E-4</v>
      </c>
      <c r="AC18" s="311">
        <v>8.0000000000000004E-4</v>
      </c>
      <c r="AD18" s="308" t="s">
        <v>223</v>
      </c>
      <c r="AE18" s="308" t="s">
        <v>223</v>
      </c>
      <c r="AF18" s="308" t="s">
        <v>223</v>
      </c>
      <c r="AG18" s="308" t="s">
        <v>223</v>
      </c>
      <c r="AH18" s="308" t="s">
        <v>223</v>
      </c>
    </row>
    <row r="19" spans="1:34" ht="13.5" thickBot="1" x14ac:dyDescent="0.25">
      <c r="A19" s="6" t="s">
        <v>54</v>
      </c>
      <c r="B19" t="s">
        <v>71</v>
      </c>
      <c r="C19">
        <v>1.6</v>
      </c>
      <c r="D19">
        <v>10</v>
      </c>
      <c r="E19" s="3">
        <v>-0.52</v>
      </c>
      <c r="F19" s="65">
        <f>F21*POWER(10,C19*E19/D19)</f>
        <v>0.12549996015844161</v>
      </c>
      <c r="I19" s="124"/>
      <c r="J19" s="125"/>
      <c r="K19" s="126"/>
      <c r="L19" s="125"/>
      <c r="M19" s="125"/>
      <c r="N19" s="125"/>
      <c r="O19" s="127"/>
      <c r="P19" s="127"/>
      <c r="Q19" s="128"/>
      <c r="U19" s="316"/>
      <c r="V19" s="179" t="s">
        <v>512</v>
      </c>
      <c r="W19" s="183">
        <v>17</v>
      </c>
      <c r="X19" s="314">
        <v>1E-3</v>
      </c>
      <c r="Y19" s="314">
        <v>2.0000000000000001E-4</v>
      </c>
      <c r="Z19" s="314">
        <v>2.0000000000000001E-4</v>
      </c>
      <c r="AA19" s="314">
        <v>2.0000000000000001E-4</v>
      </c>
      <c r="AB19" s="314">
        <v>2.9999999999999997E-4</v>
      </c>
      <c r="AC19" s="314">
        <v>2.0000000000000001E-4</v>
      </c>
      <c r="AD19" s="315" t="s">
        <v>223</v>
      </c>
      <c r="AE19" s="315" t="s">
        <v>223</v>
      </c>
      <c r="AF19" s="315" t="s">
        <v>223</v>
      </c>
      <c r="AG19" s="315" t="s">
        <v>223</v>
      </c>
      <c r="AH19" s="315" t="s">
        <v>223</v>
      </c>
    </row>
    <row r="20" spans="1:34" ht="13.5" thickBot="1" x14ac:dyDescent="0.25">
      <c r="A20" s="6" t="s">
        <v>54</v>
      </c>
      <c r="B20" t="s">
        <v>72</v>
      </c>
      <c r="C20">
        <v>1.6</v>
      </c>
      <c r="D20">
        <v>10</v>
      </c>
      <c r="E20" s="3">
        <v>-0.25</v>
      </c>
      <c r="F20" s="65">
        <f>F21*POWER(10,C20*E20/D20)</f>
        <v>0.13862564758209828</v>
      </c>
      <c r="I20" s="124" t="s">
        <v>79</v>
      </c>
      <c r="J20" s="125" t="s">
        <v>143</v>
      </c>
      <c r="K20" s="126">
        <f>(POWER(G$4,C151)*H$4)</f>
        <v>14789.201509055989</v>
      </c>
      <c r="L20" s="125" t="str">
        <f>IF(K20&gt;F157,"&gt;84%",IF(K20&gt;F156,"&gt;70%&lt;84%",IF(K20&gt;F155,"&gt;60%&lt;70%",IF(K20&gt;F154,"&gt;50%&lt;60%",IF(K20&gt;F153,"&gt;40%&lt;50%",IF(K20&gt;F152,"&gt;30%&lt;40%",IF(K20&gt;F151,"&gt;16%&lt;30%","&lt;16%")))))))</f>
        <v>&gt;84%</v>
      </c>
      <c r="M20" s="125" t="str">
        <f>IF(K20&gt;F164,"&gt;84%",IF(K20&gt;F163,"&gt;70%&lt;84%",IF(K20&gt;F162,"&gt;60%&lt;70%",IF(K20&gt;F161,"&gt;50%&lt;60%",IF(K20&gt;F160,"&gt;40%&lt;50%",IF(K20&gt;F159,"&gt;30%&lt;40%",IF(K20&gt;F158,"&gt;16%&lt;30%","&lt;16%")))))))</f>
        <v>&gt;84%</v>
      </c>
      <c r="N20" s="125" t="str">
        <f>IF(K20&gt;F171,"&gt;84%",IF(K20&gt;F170,"&gt;70%&lt;84%",IF(K20&gt;F169,"&gt;60%&lt;70%",IF(K20&gt;F168,"&gt;50%&lt;60%",IF(K20&gt;F167,"&gt;40%&lt;50%",IF(K20&gt;F166,"&gt;30%&lt;40%",IF(K20&gt;F165,"&gt;16%&lt;30%","&lt;16%")))))))</f>
        <v>&gt;84%</v>
      </c>
      <c r="O20" s="127">
        <f>IF(L20="&lt;16%",F151,IF(L20="&gt;16%&lt;30%",F152,IF(L20="&gt;30%&lt;40%",F153,IF(L20="&gt;40%&lt;50%",F154,IF(L20="&gt;50%&lt;60%",F155,IF(L20="&gt;60%&lt;70%",F156,IF(L20="&gt;70%&lt;84%",F157,F157)))))))</f>
        <v>4403.3978028662095</v>
      </c>
      <c r="P20" s="127">
        <f>IF(M20="&lt;16%",F158,IF(M20="&gt;16%&lt;30%",F159,IF(M20="&gt;30%&lt;40%",F160,IF(M20="&gt;40%&lt;50%",F161,IF(M20="&gt;50%&lt;60%",F162,IF(M20="&gt;60%&lt;70%",F163,IF(M20="&gt;70%&lt;84%",F164,F164)))))))</f>
        <v>2935.5985352441394</v>
      </c>
      <c r="Q20" s="128">
        <f>IF(N20="&lt;16%",F165,IF(N20="&gt;16%&lt;30%",F166,IF(N20="&gt;30%&lt;40%",F167,IF(N20="&gt;40%&lt;50%",F168,IF(N20="&gt;50%&lt;60%",F169,IF(N20="&gt;60%&lt;70%",F170,IF(N20="&gt;70%&lt;84%",F171,F171)))))))</f>
        <v>440.33978028662091</v>
      </c>
      <c r="U20" s="316"/>
      <c r="V20" s="317" t="s">
        <v>559</v>
      </c>
      <c r="W20" s="318">
        <v>18</v>
      </c>
      <c r="X20" s="319">
        <v>0.1</v>
      </c>
      <c r="Y20" s="319">
        <v>0.02</v>
      </c>
      <c r="Z20" s="319">
        <v>0.02</v>
      </c>
      <c r="AA20" s="319">
        <v>0.02</v>
      </c>
      <c r="AB20" s="320">
        <v>0.03</v>
      </c>
      <c r="AC20" s="321">
        <v>0.03</v>
      </c>
      <c r="AD20" s="321" t="s">
        <v>223</v>
      </c>
      <c r="AE20" s="321" t="s">
        <v>223</v>
      </c>
      <c r="AF20" s="321" t="s">
        <v>223</v>
      </c>
      <c r="AG20" s="321" t="s">
        <v>223</v>
      </c>
      <c r="AH20" s="321" t="s">
        <v>223</v>
      </c>
    </row>
    <row r="21" spans="1:34" ht="13.5" thickBot="1" x14ac:dyDescent="0.25">
      <c r="A21" s="6" t="s">
        <v>54</v>
      </c>
      <c r="B21" t="s">
        <v>73</v>
      </c>
      <c r="E21" s="3"/>
      <c r="F21" s="66">
        <v>0.152</v>
      </c>
      <c r="I21" s="124" t="s">
        <v>79</v>
      </c>
      <c r="J21" s="125" t="s">
        <v>196</v>
      </c>
      <c r="K21" s="126">
        <f>(POWER(G$4,C175)*H$4)</f>
        <v>14789.201509055989</v>
      </c>
      <c r="L21" s="125" t="str">
        <f>IF(K21&gt;F178,"&gt;84%",IF(K21&gt;F177,"&gt;70%&lt;84%",IF(K21&gt;F176,"&gt;60%&lt;70%",IF(K21&gt;F175,"&gt;50%&lt;60%",IF(K21&gt;F174,"&gt;40%&lt;50%",IF(K21&gt;F173,"&gt;30%&lt;40%",IF(K21&gt;F172,"&gt;16%&lt;30%","&lt;16%")))))))</f>
        <v>&gt;84%</v>
      </c>
      <c r="M21" s="125" t="str">
        <f>IF(K21&gt;F185,"&gt;84%",IF(K21&gt;F184,"&gt;70%&lt;84%",IF(K21&gt;F183,"&gt;60%&lt;70%",IF(K21&gt;F182,"&gt;50%&lt;60%",IF(K21&gt;F181,"&gt;40%&lt;50%",IF(K21&gt;F180,"&gt;30%&lt;40%",IF(K21&gt;F179,"&gt;16%&lt;30%","&lt;16%")))))))</f>
        <v>&gt;84%</v>
      </c>
      <c r="N21" s="125" t="str">
        <f>IF(K21&gt;F192,"&gt;84%",IF(K21&gt;F191,"&gt;70%&lt;84%",IF(K21&gt;F190,"&gt;60%&lt;70%",IF(K21&gt;F189,"&gt;50%&lt;60%",IF(K21&gt;F188,"&gt;40%&lt;50%",IF(K21&gt;F187,"&gt;30%&lt;40%",IF(K21&gt;F186,"&gt;16%&lt;30%","&lt;16%")))))))</f>
        <v>&gt;84%</v>
      </c>
      <c r="O21" s="127">
        <f>IF(L21="&lt;16%",F172,IF(L21="&gt;16%&lt;30%",F173,IF(L21="&gt;30%&lt;40%",F174,IF(L21="&gt;40%&lt;50%",F175,IF(L21="&gt;50%&lt;60%",F176,IF(L21="&gt;60%&lt;70%",F177,IF(L21="&gt;70%&lt;84%",F178,F178)))))))</f>
        <v>2201.6989014331048</v>
      </c>
      <c r="P21" s="127">
        <f>IF(M21="&lt;16%",F179,IF(M21="&gt;16%&lt;30%",F180,IF(M21="&gt;30%&lt;40%",F181,IF(M21="&gt;40%&lt;50%",F182,IF(M21="&gt;50%&lt;60%",F183,IF(M21="&gt;60%&lt;70%",F184,IF(M21="&gt;70%&lt;84%",F185,F185)))))))</f>
        <v>1467.7992676220697</v>
      </c>
      <c r="Q21" s="128">
        <f>IF(N21="&lt;16%",F186,IF(N21="&gt;16%&lt;30%",F187,IF(N21="&gt;30%&lt;40%",F188,IF(N21="&gt;40%&lt;50%",F189,IF(N21="&gt;50%&lt;60%",F190,IF(N21="&gt;60%&lt;70%",F191,IF(N21="&gt;70%&lt;84%",F192,F192)))))))</f>
        <v>220.16989014331045</v>
      </c>
      <c r="U21" s="316"/>
      <c r="V21" s="317" t="s">
        <v>560</v>
      </c>
      <c r="W21" s="318">
        <v>19</v>
      </c>
      <c r="X21" s="319">
        <v>0.1</v>
      </c>
      <c r="Y21" s="319">
        <v>0.02</v>
      </c>
      <c r="Z21" s="319">
        <v>0.02</v>
      </c>
      <c r="AA21" s="319">
        <v>0.02</v>
      </c>
      <c r="AB21" s="320">
        <v>0.03</v>
      </c>
      <c r="AC21" s="321">
        <v>0.03</v>
      </c>
      <c r="AD21" s="321" t="s">
        <v>223</v>
      </c>
      <c r="AE21" s="321" t="s">
        <v>223</v>
      </c>
      <c r="AF21" s="321" t="s">
        <v>223</v>
      </c>
      <c r="AG21" s="321" t="s">
        <v>223</v>
      </c>
      <c r="AH21" s="321" t="s">
        <v>223</v>
      </c>
    </row>
    <row r="22" spans="1:34" ht="13.5" thickBot="1" x14ac:dyDescent="0.25">
      <c r="A22" s="6" t="s">
        <v>54</v>
      </c>
      <c r="B22" t="s">
        <v>74</v>
      </c>
      <c r="C22">
        <v>1.6</v>
      </c>
      <c r="D22">
        <v>10</v>
      </c>
      <c r="E22" s="3">
        <v>0.25</v>
      </c>
      <c r="F22" s="65">
        <f>F21*POWER(10,C22*E22/D22)</f>
        <v>0.16666468581376412</v>
      </c>
      <c r="I22" s="124"/>
      <c r="J22" s="125"/>
      <c r="K22" s="126"/>
      <c r="L22" s="125"/>
      <c r="M22" s="125"/>
      <c r="N22" s="125"/>
      <c r="O22" s="127"/>
      <c r="P22" s="127"/>
      <c r="Q22" s="128"/>
      <c r="U22" s="316"/>
      <c r="V22" s="317" t="s">
        <v>561</v>
      </c>
      <c r="W22" s="318">
        <v>20</v>
      </c>
      <c r="X22" s="319">
        <v>0.1</v>
      </c>
      <c r="Y22" s="319">
        <v>0.02</v>
      </c>
      <c r="Z22" s="319">
        <v>0.02</v>
      </c>
      <c r="AA22" s="319">
        <v>0.02</v>
      </c>
      <c r="AB22" s="320">
        <v>0.03</v>
      </c>
      <c r="AC22" s="321">
        <v>0.03</v>
      </c>
      <c r="AD22" s="321" t="s">
        <v>223</v>
      </c>
      <c r="AE22" s="321" t="s">
        <v>223</v>
      </c>
      <c r="AF22" s="321" t="s">
        <v>223</v>
      </c>
      <c r="AG22" s="321" t="s">
        <v>223</v>
      </c>
      <c r="AH22" s="321" t="s">
        <v>223</v>
      </c>
    </row>
    <row r="23" spans="1:34" ht="13.5" thickBot="1" x14ac:dyDescent="0.25">
      <c r="A23" s="6" t="s">
        <v>54</v>
      </c>
      <c r="B23" t="s">
        <v>75</v>
      </c>
      <c r="C23">
        <v>1.6</v>
      </c>
      <c r="D23">
        <v>10</v>
      </c>
      <c r="E23" s="3">
        <v>0.52</v>
      </c>
      <c r="F23" s="65">
        <f>F21*POWER(10,C23*E23/D23)</f>
        <v>0.18409567597337545</v>
      </c>
      <c r="I23" s="124" t="s">
        <v>80</v>
      </c>
      <c r="J23" s="125" t="s">
        <v>143</v>
      </c>
      <c r="K23" s="126">
        <f>(POWER(G$4,C196)*H$4)</f>
        <v>14789.201509055989</v>
      </c>
      <c r="L23" s="125" t="str">
        <f>IF(K23&gt;F199,"&gt;84%",IF(K23&gt;F198,"&gt;70%&lt;84%",IF(K23&gt;F197,"&gt;60%&lt;70%",IF(K23&gt;F196,"&gt;50%&lt;60%",IF(K23&gt;F195,"&gt;40%&lt;50%",IF(K23&gt;F194,"&gt;30%&lt;40%",IF(K23&gt;F193,"&gt;16%&lt;30%","&lt;16%")))))))</f>
        <v>&gt;84%</v>
      </c>
      <c r="M23" s="125" t="str">
        <f>IF(K23&gt;F206,"&gt;84%",IF(K23&gt;F205,"&gt;70%&lt;84%",IF(K23&gt;F204,"&gt;60%&lt;70%",IF(K23&gt;F203,"&gt;50%&lt;60%",IF(K23&gt;F202,"&gt;40%&lt;50%",IF(K23&gt;F201,"&gt;30%&lt;40%",IF(K23&gt;F200,"&gt;16%&lt;30%","&lt;16%")))))))</f>
        <v>&gt;84%</v>
      </c>
      <c r="N23" s="125" t="str">
        <f>IF(K23&gt;F213,"&gt;84%",IF(K23&gt;F212,"&gt;70%&lt;84%",IF(K23&gt;F211,"&gt;60%&lt;70%",IF(K23&gt;F210,"&gt;50%&lt;60%",IF(K23&gt;F209,"&gt;40%&lt;50%",IF(K23&gt;F208,"&gt;30%&lt;40%",IF(K23&gt;F207,"&gt;16%&lt;30%","&lt;16%")))))))</f>
        <v>&gt;84%</v>
      </c>
      <c r="O23" s="127">
        <f>IF(L23="&lt;16%",F193,IF(L23="&gt;16%&lt;30%",F194,IF(L23="&gt;30%&lt;40%",F195,IF(L23="&gt;40%&lt;50%",F196,IF(L23="&gt;50%&lt;60%",F197,IF(L23="&gt;60%&lt;70%",F198,IF(L23="&gt;70%&lt;84%",F199,F199)))))))</f>
        <v>4754.679577383341</v>
      </c>
      <c r="P23" s="127">
        <f>IF(M23="&lt;16%",F200,IF(M23="&gt;16%&lt;30%",F201,IF(M23="&gt;30%&lt;40%",F202,IF(M23="&gt;40%&lt;50%",F203,IF(M23="&gt;50%&lt;60%",F204,IF(M23="&gt;60%&lt;70%",F205,IF(M23="&gt;70%&lt;84%",F206,F206)))))))</f>
        <v>3169.7863849222272</v>
      </c>
      <c r="Q23" s="128">
        <f>IF(N23="&lt;16%",F207,IF(N23="&gt;16%&lt;30%",F208,IF(N23="&gt;30%&lt;40%",F209,IF(N23="&gt;40%&lt;50%",F210,IF(N23="&gt;50%&lt;60%",F211,IF(N23="&gt;60%&lt;70%",F212,IF(N23="&gt;70%&lt;84%",F213,F213)))))))</f>
        <v>440.33978028662091</v>
      </c>
      <c r="U23" s="316"/>
      <c r="V23" s="317" t="s">
        <v>562</v>
      </c>
      <c r="W23" s="318">
        <v>21</v>
      </c>
      <c r="X23" s="319">
        <v>5.0000000000000001E-3</v>
      </c>
      <c r="Y23" s="319">
        <v>1E-3</v>
      </c>
      <c r="Z23" s="319">
        <v>1E-3</v>
      </c>
      <c r="AA23" s="319">
        <v>1E-3</v>
      </c>
      <c r="AB23" s="320">
        <v>1.5E-3</v>
      </c>
      <c r="AC23" s="321">
        <v>2E-3</v>
      </c>
      <c r="AD23" s="321" t="s">
        <v>223</v>
      </c>
      <c r="AE23" s="321" t="s">
        <v>223</v>
      </c>
      <c r="AF23" s="321" t="s">
        <v>223</v>
      </c>
      <c r="AG23" s="321" t="s">
        <v>223</v>
      </c>
      <c r="AH23" s="321" t="s">
        <v>223</v>
      </c>
    </row>
    <row r="24" spans="1:34" ht="13.5" thickBot="1" x14ac:dyDescent="0.25">
      <c r="A24" s="6" t="s">
        <v>54</v>
      </c>
      <c r="B24" t="s">
        <v>76</v>
      </c>
      <c r="C24">
        <v>1.6</v>
      </c>
      <c r="D24">
        <v>10</v>
      </c>
      <c r="E24">
        <v>1</v>
      </c>
      <c r="F24" s="65">
        <f>F21*POWER(10,C24*E24/D24)</f>
        <v>0.21970684515338096</v>
      </c>
      <c r="I24" s="124" t="s">
        <v>80</v>
      </c>
      <c r="J24" s="125" t="s">
        <v>196</v>
      </c>
      <c r="K24" s="126">
        <f>(POWER(G$4,C217)*H$4)</f>
        <v>14789.201509055989</v>
      </c>
      <c r="L24" s="125" t="str">
        <f>IF(K24&gt;F220,"&gt;84%",IF(K24&gt;F219,"&gt;70%&lt;84%",IF(K24&gt;F218,"&gt;60%&lt;70%",IF(K24&gt;F217,"&gt;50%&lt;60%",IF(K24&gt;F216,"&gt;40%&lt;50%",IF(K24&gt;F215,"&gt;30%&lt;40%",IF(K24&gt;F214,"&gt;16%&lt;30%","&lt;16%")))))))</f>
        <v>&gt;84%</v>
      </c>
      <c r="M24" s="125" t="str">
        <f>IF(K24&gt;F227,"&gt;84%",IF(K24&gt;F226,"&gt;70%&lt;84%",IF(K24&gt;F225,"&gt;60%&lt;70%",IF(K24&gt;F224,"&gt;50%&lt;60%",IF(K24&gt;F223,"&gt;40%&lt;50%",IF(K24&gt;F222,"&gt;30%&lt;40%",IF(K24&gt;F221,"&gt;16%&lt;30%","&lt;16%")))))))</f>
        <v>&gt;84%</v>
      </c>
      <c r="N24" s="125" t="str">
        <f>IF(K24&gt;F234,"&gt;84%",IF(K24&gt;F233,"&gt;70%&lt;84%",IF(K24&gt;F232,"&gt;60%&lt;70%",IF(K24&gt;F231,"&gt;50%&lt;60%",IF(K24&gt;F230,"&gt;40%&lt;50%",IF(K24&gt;F229,"&gt;30%&lt;40%",IF(K24&gt;F228,"&gt;16%&lt;30%","&lt;16%")))))))</f>
        <v>&gt;84%</v>
      </c>
      <c r="O24" s="127">
        <f>IF(L24="&lt;16%",F221,IF(L24="&gt;16%&lt;30%",F222,IF(L24="&gt;30%&lt;40%",F223,IF(L24="&gt;40%&lt;50%",F224,IF(L24="&gt;50%&lt;60%",F225,IF(L24="&gt;60%&lt;70%",F226,IF(L24="&gt;70%&lt;84%",F227,F227)))))))</f>
        <v>1584.8931924611136</v>
      </c>
      <c r="P24" s="127">
        <f>IF(M24="&lt;16%",F228,IF(M24="&gt;16%&lt;30%",F229,IF(M24="&gt;30%&lt;40%",F230,IF(M24="&gt;40%&lt;50%",F231,IF(M24="&gt;50%&lt;60%",F232,IF(M24="&gt;60%&lt;70%",F233,IF(M24="&gt;70%&lt;84%",F234,F234)))))))</f>
        <v>220.16989014331045</v>
      </c>
      <c r="Q24" s="128">
        <f>IF(N24="&lt;16%",F228,IF(N24="&gt;16%&lt;30%",F229,IF(N24="&gt;30%&lt;40%",F230,IF(N24="&gt;40%&lt;50%",F231,IF(N24="&gt;50%&lt;60%",F232,IF(N24="&gt;60%&lt;70%",F233,IF(N24="&gt;70%&lt;84%",F234,F234)))))))</f>
        <v>220.16989014331045</v>
      </c>
      <c r="U24" s="316"/>
      <c r="V24" s="317" t="s">
        <v>563</v>
      </c>
      <c r="W24" s="318">
        <v>22</v>
      </c>
      <c r="X24" s="319">
        <v>5.0000000000000001E-3</v>
      </c>
      <c r="Y24" s="319">
        <v>1E-3</v>
      </c>
      <c r="Z24" s="319">
        <v>1E-3</v>
      </c>
      <c r="AA24" s="319">
        <v>1E-3</v>
      </c>
      <c r="AB24" s="320">
        <v>1.5E-3</v>
      </c>
      <c r="AC24" s="321">
        <v>2E-3</v>
      </c>
      <c r="AD24" s="321" t="s">
        <v>223</v>
      </c>
      <c r="AE24" s="321" t="s">
        <v>223</v>
      </c>
      <c r="AF24" s="321" t="s">
        <v>223</v>
      </c>
      <c r="AG24" s="321" t="s">
        <v>223</v>
      </c>
      <c r="AH24" s="321" t="s">
        <v>223</v>
      </c>
    </row>
    <row r="25" spans="1:34" ht="13.5" thickBot="1" x14ac:dyDescent="0.25">
      <c r="A25" s="83" t="s">
        <v>194</v>
      </c>
      <c r="B25" t="s">
        <v>57</v>
      </c>
      <c r="C25">
        <v>1</v>
      </c>
      <c r="D25">
        <v>5</v>
      </c>
      <c r="E25">
        <v>-1</v>
      </c>
      <c r="F25" s="65">
        <f>F$28*POWER(10,C25*E25/D25)</f>
        <v>9464.3601672028981</v>
      </c>
      <c r="I25" s="124"/>
      <c r="J25" s="125"/>
      <c r="K25" s="126"/>
      <c r="L25" s="125"/>
      <c r="M25" s="125"/>
      <c r="N25" s="125"/>
      <c r="O25" s="127"/>
      <c r="P25" s="127"/>
      <c r="Q25" s="128"/>
      <c r="U25" s="316"/>
      <c r="V25" s="317" t="s">
        <v>565</v>
      </c>
      <c r="W25" s="318">
        <v>23</v>
      </c>
      <c r="X25" s="319">
        <v>1E-3</v>
      </c>
      <c r="Y25" s="319">
        <v>2.0000000000000001E-4</v>
      </c>
      <c r="Z25" s="319">
        <v>2.0000000000000001E-4</v>
      </c>
      <c r="AA25" s="319">
        <v>2.0000000000000001E-4</v>
      </c>
      <c r="AB25" s="320">
        <v>2.9999999999999997E-4</v>
      </c>
      <c r="AC25" s="321">
        <v>2.9999999999999997E-4</v>
      </c>
      <c r="AD25" s="321" t="s">
        <v>223</v>
      </c>
      <c r="AE25" s="321" t="s">
        <v>223</v>
      </c>
      <c r="AF25" s="321" t="s">
        <v>223</v>
      </c>
      <c r="AG25" s="321" t="s">
        <v>223</v>
      </c>
      <c r="AH25" s="321" t="s">
        <v>223</v>
      </c>
    </row>
    <row r="26" spans="1:34" ht="13.5" thickBot="1" x14ac:dyDescent="0.25">
      <c r="A26" s="83" t="s">
        <v>194</v>
      </c>
      <c r="B26" t="s">
        <v>58</v>
      </c>
      <c r="C26">
        <v>1</v>
      </c>
      <c r="D26">
        <v>5</v>
      </c>
      <c r="E26" s="3">
        <v>-0.52</v>
      </c>
      <c r="F26" s="65">
        <f>F$28*POWER(10,C26*E26/D26)</f>
        <v>11805.686845426479</v>
      </c>
      <c r="I26" s="124" t="s">
        <v>81</v>
      </c>
      <c r="J26" s="125" t="s">
        <v>100</v>
      </c>
      <c r="K26" s="126">
        <f>(POWER(G$4,C$256)*H$4)</f>
        <v>14789.201509055989</v>
      </c>
      <c r="L26" s="125" t="str">
        <f>IF(K26&gt;F262,"&gt;84%",IF(K26&gt;F261,"&gt;70%&lt;84%",IF(K26&gt;F260,"&gt;60%&lt;70%",IF(K26&gt;F259,"&gt;50%&lt;60%",IF(K26&gt;F258,"&gt;40%&lt;50%",IF(K26&gt;F257,"&gt;30%&lt;40%",IF(K26&gt;F256,"&gt;16%&lt;30%","&lt;16%")))))))</f>
        <v>&gt;84%</v>
      </c>
      <c r="M26" s="125" t="str">
        <f>IF(K26&gt;F269,"&gt;84%",IF(K26&gt;F268,"&gt;70%&lt;84%",IF(K26&gt;F267,"&gt;60%&lt;70%",IF(K26&gt;F266,"&gt;50%&lt;60%",IF(K26&gt;F265,"&gt;40%&lt;50%",IF(K26&gt;F264,"&gt;30%&lt;40%",IF(K26&gt;F263,"&gt;16%&lt;30%","&lt;16%")))))))</f>
        <v>&gt;84%</v>
      </c>
      <c r="N26" s="125" t="str">
        <f>IF(K26&gt;F276,"&gt;84%",IF(K26&gt;F275,"&gt;70%&lt;84%",IF(K26&gt;F274,"&gt;60%&lt;70%",IF(K26&gt;F273,"&gt;50%&lt;60%",IF(K26&gt;F272,"&gt;40%&lt;50%",IF(K26&gt;F271,"&gt;30%&lt;40%",IF(K26&gt;F270,"&gt;16%&lt;30%","&lt;16%")))))))</f>
        <v>&gt;84%</v>
      </c>
      <c r="O26" s="127">
        <f>IF(L26="&lt;16%",F256,IF(L26="&gt;16%&lt;30%",F257,IF(L26="&gt;30%&lt;40%",F258,IF(L26="&gt;40%&lt;50%",F259,IF(L26="&gt;50%&lt;60%",F260,IF(L26="&gt;60%&lt;70%",F261,IF(L26="&gt;70%&lt;84%",F262,F262)))))))</f>
        <v>22.016989014331045</v>
      </c>
      <c r="P26" s="127">
        <f>IF(M26="&lt;16%",F263,IF(M26="&gt;16%&lt;30%",F264,IF(M26="&gt;30%&lt;40%",F265,IF(M26="&gt;40%&lt;50%",F266,IF(M26="&gt;50%&lt;60%",F267,IF(M26="&gt;60%&lt;70%",F268,IF(M26="&gt;70%&lt;84%",F269,F269)))))))</f>
        <v>14.677992676220697</v>
      </c>
      <c r="Q26" s="128">
        <f>IF(N26="&lt;16%",F270,IF(N26="&gt;16%&lt;30%",F271,IF(N26="&gt;30%&lt;40%",F272,IF(N26="&gt;40%&lt;50%",F273,IF(N26="&gt;50%&lt;60%",F274,IF(N26="&gt;60%&lt;70%",F275,IF(N26="&gt;70%&lt;84%",F276,F276)))))))</f>
        <v>0.17782794100389232</v>
      </c>
      <c r="U26" s="119"/>
      <c r="V26" s="317" t="s">
        <v>564</v>
      </c>
      <c r="W26" s="318">
        <v>24</v>
      </c>
      <c r="X26" s="319">
        <v>5.0000000000000001E-3</v>
      </c>
      <c r="Y26" s="319">
        <v>1E-3</v>
      </c>
      <c r="Z26" s="319">
        <v>1E-3</v>
      </c>
      <c r="AA26" s="319">
        <v>1E-3</v>
      </c>
      <c r="AB26" s="320">
        <v>1.5E-3</v>
      </c>
      <c r="AC26" s="321">
        <v>2E-3</v>
      </c>
      <c r="AD26" s="321" t="s">
        <v>223</v>
      </c>
      <c r="AE26" s="321" t="s">
        <v>223</v>
      </c>
      <c r="AF26" s="321" t="s">
        <v>223</v>
      </c>
      <c r="AG26" s="321" t="s">
        <v>223</v>
      </c>
      <c r="AH26" s="321" t="s">
        <v>223</v>
      </c>
    </row>
    <row r="27" spans="1:34" ht="13.5" thickBot="1" x14ac:dyDescent="0.25">
      <c r="A27" s="83" t="s">
        <v>194</v>
      </c>
      <c r="B27" t="s">
        <v>59</v>
      </c>
      <c r="C27">
        <v>1</v>
      </c>
      <c r="D27">
        <v>5</v>
      </c>
      <c r="E27" s="3">
        <v>-0.25</v>
      </c>
      <c r="F27" s="65">
        <f>F$28*POWER(10,C27*E27/D27)</f>
        <v>13368.764072006181</v>
      </c>
      <c r="I27" s="124"/>
      <c r="J27" s="125" t="s">
        <v>143</v>
      </c>
      <c r="K27" s="126">
        <f>(POWER(G$4,C277)*H$4)</f>
        <v>14789.201509055989</v>
      </c>
      <c r="L27" s="125" t="str">
        <f>IF(K27&gt;F283,"&gt;84%",IF(K27&gt;F282,"&gt;70%&lt;84%",IF(K27&gt;F281,"&gt;60%&lt;70%",IF(K27&gt;F280,"&gt;50%&lt;60%",IF(K27&gt;F279,"&gt;40%&lt;50%",IF(K27&gt;F278,"&gt;30%&lt;40%",IF(K27&gt;F277,"&gt;16%&lt;30%","&lt;16%")))))))</f>
        <v>&gt;84%</v>
      </c>
      <c r="M27" s="125" t="str">
        <f>IF(K27&gt;F290,"&gt;84%",IF(K27&gt;F289,"&gt;70%&lt;84%",IF(K27&gt;F288,"&gt;60%&lt;70%",IF(K27&gt;F287,"&gt;50%&lt;60%",IF(K27&gt;F286,"&gt;40%&lt;50%",IF(K27&gt;F285,"&gt;30%&lt;40%",IF(K27&gt;F284,"&gt;16%&lt;30%","&lt;16%")))))))</f>
        <v>&gt;84%</v>
      </c>
      <c r="N27" s="125" t="str">
        <f>IF(K27&gt;F297,"&gt;84%",IF(K27&gt;F296,"&gt;70%&lt;84%",IF(K27&gt;F295,"&gt;60%&lt;70%",IF(K27&gt;F294,"&gt;50%&lt;60%",IF(K27&gt;F293,"&gt;40%&lt;50%",IF(K27&gt;F292,"&gt;30%&lt;40%",IF(K27&gt;F291,"&gt;16%&lt;30%","&lt;16%")))))))</f>
        <v>&gt;84%</v>
      </c>
      <c r="O27" s="127">
        <f>IF(L27="&lt;16%",F277,IF(L27="&gt;16%&lt;30%",F278,IF(L27="&gt;30%&lt;40%",F279,IF(L27="&gt;40%&lt;50%",F280,IF(L27="&gt;50%&lt;60%",F281,IF(L27="&gt;60%&lt;70%",F282,IF(L27="&gt;70%&lt;84%",F283,F283)))))))</f>
        <v>220.16989014331045</v>
      </c>
      <c r="P27" s="127">
        <f>IF(M27="&lt;16%",F284,IF(M27="&gt;16%&lt;30%",F285,IF(M27="&gt;30%&lt;40%",F286,IF(M27="&gt;40%&lt;50%",F287,IF(M27="&gt;50%&lt;60%",F288,IF(M27="&gt;60%&lt;70%",F289,IF(M27="&gt;70%&lt;84%",F290,F290)))))))</f>
        <v>36.694981690551742</v>
      </c>
      <c r="Q27" s="128">
        <f>IF(N27="&lt;16%",F291,IF(N27="&gt;16%&lt;30%",F292,IF(N27="&gt;30%&lt;40%",F293,IF(N27="&gt;40%&lt;50%",F294,IF(N27="&gt;50%&lt;60%",F295,IF(N27="&gt;60%&lt;70%",F296,IF(N27="&gt;70%&lt;84%",F297,F297)))))))</f>
        <v>14.677992676220697</v>
      </c>
      <c r="U27" s="119"/>
      <c r="V27" s="322" t="s">
        <v>566</v>
      </c>
      <c r="W27" s="318">
        <v>25</v>
      </c>
      <c r="X27" s="319">
        <v>8.0000000000000002E-3</v>
      </c>
      <c r="Y27" s="319">
        <v>3.0000000000000001E-3</v>
      </c>
      <c r="Z27" s="319">
        <v>2E-3</v>
      </c>
      <c r="AA27" s="319">
        <v>1E-3</v>
      </c>
      <c r="AB27" s="320">
        <v>1.4999999999999999E-2</v>
      </c>
      <c r="AC27" s="321">
        <v>2.0000000000000001E-4</v>
      </c>
      <c r="AD27" s="321" t="s">
        <v>223</v>
      </c>
      <c r="AE27" s="321" t="s">
        <v>223</v>
      </c>
      <c r="AF27" s="321" t="s">
        <v>223</v>
      </c>
      <c r="AG27" s="321" t="s">
        <v>223</v>
      </c>
      <c r="AH27" s="321" t="s">
        <v>223</v>
      </c>
    </row>
    <row r="28" spans="1:34" ht="13.5" thickBot="1" x14ac:dyDescent="0.25">
      <c r="A28" s="83" t="s">
        <v>194</v>
      </c>
      <c r="B28" t="s">
        <v>60</v>
      </c>
      <c r="C28">
        <v>1</v>
      </c>
      <c r="D28">
        <v>5</v>
      </c>
      <c r="E28" s="3"/>
      <c r="F28" s="66">
        <v>15000</v>
      </c>
      <c r="I28" s="124"/>
      <c r="J28" s="125" t="s">
        <v>196</v>
      </c>
      <c r="K28" s="126">
        <f>(POWER(G$4,C298)*H$4)</f>
        <v>14789.201509055989</v>
      </c>
      <c r="L28" s="125" t="str">
        <f>IF(K28&gt;F304,"&gt;84%",IF(K28&gt;F303,"&gt;70%&lt;84%",IF(K28&gt;F302,"&gt;60%&lt;70%",IF(K28&gt;F301,"&gt;50%&lt;60%",IF(K28&gt;F300,"&gt;40%&lt;50%",IF(K28&gt;F299,"&gt;30%&lt;40%",IF(K28&gt;F298,"&gt;16%&lt;30%","&lt;16%")))))))</f>
        <v>&gt;84%</v>
      </c>
      <c r="M28" s="125" t="str">
        <f>IF(K28&gt;F311,"&gt;84%",IF(K28&gt;F310,"&gt;70%&lt;84%",IF(K28&gt;F309,"&gt;60%&lt;70%",IF(K28&gt;F308,"&gt;50%&lt;60%",IF(K28&gt;F307,"&gt;40%&lt;50%",IF(K28&gt;F306,"&gt;30%&lt;40%",IF(K28&gt;F305,"&gt;16%&lt;30%","&lt;16%")))))))</f>
        <v>&gt;84%</v>
      </c>
      <c r="N28" s="125" t="str">
        <f>IF(K28&gt;F318,"&gt;84%",IF(K28&gt;F317,"&gt;70%&lt;84%",IF(K28&gt;F316,"&gt;60%&lt;70%",IF(K28&gt;F315,"&gt;50%&lt;60%",IF(K28&gt;F314,"&gt;40%&lt;50%",IF(K28&gt;F313,"&gt;30%&lt;40%",IF(K28&gt;F312,"&gt;16%&lt;30%","&lt;16%")))))))</f>
        <v>&gt;84%</v>
      </c>
      <c r="O28" s="127">
        <f>IF(L28="&lt;16%",F298,IF(L28="&gt;16%&lt;30%",F299,IF(L28="&gt;30%&lt;40%",F300,IF(L28="&gt;40%&lt;50%",F301,IF(L28="&gt;50%&lt;60%",F302,IF(L28="&gt;60%&lt;70%",F303,IF(L28="&gt;70%&lt;84%",F304,F304)))))))</f>
        <v>118.86698943458352</v>
      </c>
      <c r="P28" s="127">
        <f>IF(M28="&lt;16%",F305,IF(M28="&gt;16%&lt;30%",F306,IF(M28="&gt;30%&lt;40%",F307,IF(M28="&gt;40%&lt;50%",F308,IF(M28="&gt;50%&lt;60%",F309,IF(M28="&gt;60%&lt;70%",F310,IF(M28="&gt;70%&lt;84%",F311,F311)))))))</f>
        <v>17.613591211464836</v>
      </c>
      <c r="Q28" s="128">
        <f>IF(N28="&lt;16%",F312,IF(N28="&gt;16%&lt;30%",F313,IF(N28="&gt;30%&lt;40%",F314,IF(N28="&gt;40%&lt;50%",F315,IF(N28="&gt;50%&lt;60%",F316,IF(N28="&gt;60%&lt;70%",F317,IF(N28="&gt;70%&lt;84%",F318,F318)))))))</f>
        <v>7.3389963381103485</v>
      </c>
      <c r="U28" s="119"/>
      <c r="V28" s="322" t="s">
        <v>567</v>
      </c>
      <c r="W28" s="318">
        <v>26</v>
      </c>
      <c r="X28" s="319">
        <v>8.0000000000000002E-3</v>
      </c>
      <c r="Y28" s="319">
        <v>3.0000000000000001E-3</v>
      </c>
      <c r="Z28" s="319">
        <v>2E-3</v>
      </c>
      <c r="AA28" s="319">
        <v>1E-3</v>
      </c>
      <c r="AB28" s="320">
        <v>1.4999999999999999E-2</v>
      </c>
      <c r="AC28" s="321">
        <v>2.0000000000000001E-4</v>
      </c>
      <c r="AD28" s="321" t="s">
        <v>223</v>
      </c>
      <c r="AE28" s="321" t="s">
        <v>223</v>
      </c>
      <c r="AF28" s="321" t="s">
        <v>223</v>
      </c>
      <c r="AG28" s="321" t="s">
        <v>223</v>
      </c>
      <c r="AH28" s="321" t="s">
        <v>223</v>
      </c>
    </row>
    <row r="29" spans="1:34" ht="13.5" thickBot="1" x14ac:dyDescent="0.25">
      <c r="A29" s="83" t="s">
        <v>194</v>
      </c>
      <c r="B29" t="s">
        <v>61</v>
      </c>
      <c r="C29">
        <v>1</v>
      </c>
      <c r="D29">
        <v>5</v>
      </c>
      <c r="E29" s="3">
        <v>0.25</v>
      </c>
      <c r="F29" s="65">
        <f>F$28*POWER(10,C29*E29/D29)</f>
        <v>16830.276814529454</v>
      </c>
      <c r="I29" s="25"/>
      <c r="J29" s="26"/>
      <c r="K29" s="129"/>
      <c r="L29" s="26"/>
      <c r="M29" s="26"/>
      <c r="N29" s="26"/>
      <c r="O29" s="130"/>
      <c r="P29" s="130"/>
      <c r="Q29" s="131"/>
      <c r="U29" s="119"/>
      <c r="V29" s="322" t="s">
        <v>568</v>
      </c>
      <c r="W29" s="318">
        <v>27</v>
      </c>
      <c r="X29" s="319">
        <v>8.0000000000000002E-3</v>
      </c>
      <c r="Y29" s="319">
        <v>3.0000000000000001E-3</v>
      </c>
      <c r="Z29" s="319">
        <v>2E-3</v>
      </c>
      <c r="AA29" s="319">
        <v>1E-3</v>
      </c>
      <c r="AB29" s="320">
        <v>1.4999999999999999E-2</v>
      </c>
      <c r="AC29" s="321">
        <v>2.0000000000000001E-4</v>
      </c>
      <c r="AD29" s="321" t="s">
        <v>223</v>
      </c>
      <c r="AE29" s="321" t="s">
        <v>223</v>
      </c>
      <c r="AF29" s="321" t="s">
        <v>223</v>
      </c>
      <c r="AG29" s="321" t="s">
        <v>223</v>
      </c>
      <c r="AH29" s="321" t="s">
        <v>223</v>
      </c>
    </row>
    <row r="30" spans="1:34" ht="13.5" thickBot="1" x14ac:dyDescent="0.25">
      <c r="A30" s="83" t="s">
        <v>194</v>
      </c>
      <c r="B30" t="s">
        <v>62</v>
      </c>
      <c r="C30">
        <v>1</v>
      </c>
      <c r="D30">
        <v>5</v>
      </c>
      <c r="E30" s="3">
        <v>0.52</v>
      </c>
      <c r="F30" s="65">
        <f>F$28*POWER(10,C30*E30/D30)</f>
        <v>19058.611578128126</v>
      </c>
      <c r="I30" s="25" t="s">
        <v>183</v>
      </c>
      <c r="J30" s="26" t="s">
        <v>146</v>
      </c>
      <c r="K30" s="129">
        <f>(POWER(G$4,C$319)*H$4)</f>
        <v>116094.45277697644</v>
      </c>
      <c r="L30" s="26" t="str">
        <f>IF(K30&gt;F325,"&gt;84%",IF(K30&gt;F324,"&gt;70%&lt;84%",IF(K30&gt;F323,"&gt;60%&lt;70%",IF(K30&gt;F322,"&gt;50%&lt;60%",IF(K30&gt;F321,"&gt;40%&lt;50%",IF(K30&gt;F320,"&gt;30%&lt;40%",IF(K30&gt;F319,"&gt;16%&lt;30%","&lt;16%")))))))</f>
        <v>&gt;84%</v>
      </c>
      <c r="M30" s="26"/>
      <c r="N30" s="26"/>
      <c r="O30" s="130">
        <f>IF(L30="&lt;16%",F319,IF(L30="&gt;16%&lt;30%",F320,IF(L30="&gt;30%&lt;40%",F321,IF(L30="&gt;40%&lt;50%",F322,IF(L30="&gt;50%&lt;60%",F323,IF(L30="&gt;60%&lt;70%",F324,IF(L30="&gt;70%&lt;84%",F325,F325)))))))</f>
        <v>39762.327608470318</v>
      </c>
      <c r="P30" s="130"/>
      <c r="Q30" s="131"/>
      <c r="U30" s="119"/>
      <c r="V30" s="322" t="s">
        <v>569</v>
      </c>
      <c r="W30" s="318">
        <v>28</v>
      </c>
      <c r="X30" s="319">
        <v>8.0000000000000002E-3</v>
      </c>
      <c r="Y30" s="319">
        <v>3.0000000000000001E-3</v>
      </c>
      <c r="Z30" s="319">
        <v>2E-3</v>
      </c>
      <c r="AA30" s="319">
        <v>1E-3</v>
      </c>
      <c r="AB30" s="320">
        <v>1.4999999999999999E-2</v>
      </c>
      <c r="AC30" s="321">
        <v>2.0000000000000001E-4</v>
      </c>
      <c r="AD30" s="321" t="s">
        <v>223</v>
      </c>
      <c r="AE30" s="321" t="s">
        <v>223</v>
      </c>
      <c r="AF30" s="321" t="s">
        <v>223</v>
      </c>
      <c r="AG30" s="321" t="s">
        <v>223</v>
      </c>
      <c r="AH30" s="321" t="s">
        <v>223</v>
      </c>
    </row>
    <row r="31" spans="1:34" ht="13.5" thickBot="1" x14ac:dyDescent="0.25">
      <c r="A31" s="83" t="s">
        <v>194</v>
      </c>
      <c r="B31" t="s">
        <v>63</v>
      </c>
      <c r="C31">
        <v>1</v>
      </c>
      <c r="D31">
        <v>5</v>
      </c>
      <c r="E31">
        <v>1</v>
      </c>
      <c r="F31" s="65">
        <f>F$28*POWER(10,C31*E31/D31)</f>
        <v>23773.397886916704</v>
      </c>
      <c r="I31" s="25"/>
      <c r="J31" s="26"/>
      <c r="K31" s="129"/>
      <c r="L31" s="26"/>
      <c r="M31" s="26"/>
      <c r="N31" s="26"/>
      <c r="O31" s="130"/>
      <c r="P31" s="130"/>
      <c r="Q31" s="131"/>
      <c r="U31" s="119"/>
      <c r="V31" s="322" t="s">
        <v>613</v>
      </c>
      <c r="W31" s="318">
        <v>29</v>
      </c>
      <c r="X31" s="319">
        <v>8.0000000000000002E-3</v>
      </c>
      <c r="Y31" s="319">
        <v>3.0000000000000001E-3</v>
      </c>
      <c r="Z31" s="319">
        <v>2E-3</v>
      </c>
      <c r="AA31" s="319">
        <v>1E-3</v>
      </c>
      <c r="AB31" s="320">
        <v>1.4999999999999999E-2</v>
      </c>
      <c r="AC31" s="321">
        <v>2.0000000000000001E-4</v>
      </c>
      <c r="AD31" s="321" t="s">
        <v>223</v>
      </c>
      <c r="AE31" s="321" t="s">
        <v>223</v>
      </c>
      <c r="AF31" s="321" t="s">
        <v>223</v>
      </c>
      <c r="AG31" s="321" t="s">
        <v>223</v>
      </c>
      <c r="AH31" s="321" t="s">
        <v>223</v>
      </c>
    </row>
    <row r="32" spans="1:34" ht="13.5" thickBot="1" x14ac:dyDescent="0.25">
      <c r="A32" s="83" t="s">
        <v>194</v>
      </c>
      <c r="B32" t="s">
        <v>70</v>
      </c>
      <c r="C32">
        <v>1</v>
      </c>
      <c r="D32">
        <v>5</v>
      </c>
      <c r="E32">
        <v>-1</v>
      </c>
      <c r="F32" s="65">
        <f>F$35*POWER(10,C32*E32/D32)</f>
        <v>7571.4881337623192</v>
      </c>
      <c r="I32" s="25" t="s">
        <v>188</v>
      </c>
      <c r="J32" s="26" t="s">
        <v>190</v>
      </c>
      <c r="K32" s="129">
        <f>(POWER(G$4,C$333)*H$4)</f>
        <v>14789.201509055989</v>
      </c>
      <c r="L32" s="26"/>
      <c r="M32" s="26" t="str">
        <f>IF(K32&gt;F332,"&gt;84%",IF(K32&gt;F331,"&gt;70%&lt;84%",IF(K32&gt;F330,"&gt;60%&lt;70%",IF(K32&gt;F329,"&gt;50%&lt;60%",IF(K32&gt;F328,"&gt;40%&lt;50%",IF(K32&gt;F327,"&gt;30%&lt;40%",IF(K32&gt;F326,"&gt;16%&lt;30%","&lt;16%")))))))</f>
        <v>&gt;84%</v>
      </c>
      <c r="N32" s="26" t="str">
        <f>IF(K32&gt;F339,"&gt;84%",IF(K32&gt;F338,"&gt;70%&lt;84%",IF(K32&gt;F337,"&gt;60%&lt;70%",IF(K32&gt;F336,"&gt;50%&lt;60%",IF(K32&gt;F335,"&gt;40%&lt;50%",IF(K32&gt;F334,"&gt;30%&lt;40%",IF(K32&gt;F333,"&gt;16%&lt;30%","&lt;16%")))))))</f>
        <v>&gt;84%</v>
      </c>
      <c r="O32" s="130"/>
      <c r="P32" s="130">
        <f>IF(M32="&lt;16%",F326,IF(M32="&gt;16%&lt;30%",F327,IF(M32="&gt;30%&lt;40%",F328,IF(M32="&gt;40%&lt;50%",F329,IF(M32="&gt;50%&lt;60%",F330,IF(M32="&gt;60%&lt;70%",F331,IF(M32="&gt;70%&lt;84%",F332,F332)))))))</f>
        <v>161.5826017523913</v>
      </c>
      <c r="Q32" s="131">
        <f>IF(N32="&lt;16%",F333,IF(N32="&gt;16%&lt;30%",F334,IF(N32="&gt;30%&lt;40%",F335,IF(N32="&gt;40%&lt;50%",F335,IF(N32="&gt;50%&lt;60%",F336,IF(N32="&gt;60%&lt;70%",F338,IF(N32="&gt;70%&lt;84%",F339,F339)))))))</f>
        <v>53.860867250797092</v>
      </c>
      <c r="U32" s="119"/>
      <c r="V32" s="322" t="s">
        <v>614</v>
      </c>
      <c r="W32" s="318">
        <v>30</v>
      </c>
      <c r="X32" s="319">
        <v>4.0000000000000001E-3</v>
      </c>
      <c r="Y32" s="319">
        <v>1.5E-3</v>
      </c>
      <c r="Z32" s="319">
        <v>1E-3</v>
      </c>
      <c r="AA32" s="319">
        <v>5.0000000000000001E-4</v>
      </c>
      <c r="AB32" s="320">
        <v>7.4999999999999997E-3</v>
      </c>
      <c r="AC32" s="321">
        <v>1E-4</v>
      </c>
      <c r="AD32" s="321" t="s">
        <v>223</v>
      </c>
      <c r="AE32" s="321" t="s">
        <v>223</v>
      </c>
      <c r="AF32" s="321" t="s">
        <v>223</v>
      </c>
      <c r="AG32" s="321" t="s">
        <v>223</v>
      </c>
      <c r="AH32" s="321" t="s">
        <v>223</v>
      </c>
    </row>
    <row r="33" spans="1:34" ht="13.5" thickBot="1" x14ac:dyDescent="0.25">
      <c r="A33" s="83" t="s">
        <v>194</v>
      </c>
      <c r="B33" t="s">
        <v>64</v>
      </c>
      <c r="C33">
        <v>1</v>
      </c>
      <c r="D33">
        <v>5</v>
      </c>
      <c r="E33" s="3">
        <v>-0.52</v>
      </c>
      <c r="F33" s="65">
        <f>F$35*POWER(10,C33*E33/D33)</f>
        <v>9444.5494763411825</v>
      </c>
      <c r="I33" s="25"/>
      <c r="J33" s="26"/>
      <c r="K33" s="129"/>
      <c r="L33" s="26"/>
      <c r="M33" s="26"/>
      <c r="N33" s="26"/>
      <c r="O33" s="26"/>
      <c r="P33" s="130"/>
      <c r="Q33" s="131"/>
      <c r="U33" s="119"/>
      <c r="V33" s="322" t="s">
        <v>615</v>
      </c>
      <c r="W33" s="318">
        <v>31</v>
      </c>
      <c r="X33" s="319">
        <v>2.6700000000000001E-3</v>
      </c>
      <c r="Y33" s="319">
        <v>1E-3</v>
      </c>
      <c r="Z33" s="319">
        <v>6.7000000000000002E-4</v>
      </c>
      <c r="AA33" s="319">
        <v>3.3E-4</v>
      </c>
      <c r="AB33" s="320">
        <v>5.0000000000000001E-3</v>
      </c>
      <c r="AC33" s="321">
        <v>6.9999999999999994E-5</v>
      </c>
      <c r="AD33" s="321" t="s">
        <v>223</v>
      </c>
      <c r="AE33" s="321" t="s">
        <v>223</v>
      </c>
      <c r="AF33" s="321" t="s">
        <v>223</v>
      </c>
      <c r="AG33" s="321" t="s">
        <v>223</v>
      </c>
      <c r="AH33" s="321" t="s">
        <v>223</v>
      </c>
    </row>
    <row r="34" spans="1:34" ht="13.5" thickBot="1" x14ac:dyDescent="0.25">
      <c r="A34" s="83" t="s">
        <v>194</v>
      </c>
      <c r="B34" t="s">
        <v>65</v>
      </c>
      <c r="C34">
        <v>1</v>
      </c>
      <c r="D34">
        <v>5</v>
      </c>
      <c r="E34" s="3">
        <v>-0.25</v>
      </c>
      <c r="F34" s="65">
        <f>F$35*POWER(10,C34*E34/D34)</f>
        <v>10695.011257604945</v>
      </c>
      <c r="I34" s="25" t="s">
        <v>186</v>
      </c>
      <c r="J34" s="26" t="s">
        <v>191</v>
      </c>
      <c r="K34" s="129">
        <f>(POWER(G$4,C$340)*H$4)</f>
        <v>14789.201509055989</v>
      </c>
      <c r="L34" s="26" t="str">
        <f>IF(K34&gt;F346,"&gt;84%",IF(K34&gt;F345,"&gt;70%&lt;84%",IF(K34&gt;F344,"&gt;60%&lt;70%",IF(K34&gt;F343,"&gt;50%&lt;60%",IF(K34&gt;F342,"&gt;40%&lt;50%",IF(K34&gt;F341,"&gt;30%&lt;40%",IF(K34&gt;F340,"&gt;16%&lt;30%","&lt;16%")))))))</f>
        <v>&gt;84%</v>
      </c>
      <c r="M34" s="26" t="str">
        <f>IF(K34&gt;F353,"&gt;84%",IF(K34&gt;F352,"&gt;70%&lt;84%",IF(K34&gt;F351,"&gt;60%&lt;70%",IF(K34&gt;F350,"&gt;50%&lt;60%",IF(K34&gt;F349,"&gt;40%&lt;50%",IF(K34&gt;F348,"&gt;30%&lt;40%",IF(K34&gt;F347,"&gt;16%&lt;30%","&lt;16%")))))))</f>
        <v>&gt;84%</v>
      </c>
      <c r="N34" s="26" t="str">
        <f>IF(K34&gt;F360,"&gt;84%",IF(K34&gt;F359,"&gt;70%&lt;84%",IF(K34&gt;F358,"&gt;60%&lt;70%",IF(K34&gt;F357,"&gt;50%&lt;60%",IF(K34&gt;F356,"&gt;40%&lt;50%",IF(K34&gt;F355,"&gt;30%&lt;40%",IF(K34&gt;F354,"&gt;16%&lt;30%","&lt;16%")))))))</f>
        <v>&gt;84%</v>
      </c>
      <c r="O34" s="130">
        <f>IF(L34="&lt;16%",F340,IF(L34="&gt;16%&lt;30%",F341,IF(L34="&gt;30%&lt;40%",F342,IF(L34="&gt;40%&lt;50%",F343,IF(L34="&gt;50%&lt;60%",F344,IF(L34="&gt;60%&lt;70%",F345,IF(L34="&gt;70%&lt;84%",F346,F346)))))))</f>
        <v>13894.954943731376</v>
      </c>
      <c r="P34" s="130">
        <f>IF(M34="&lt;16%",F347,IF(M34="&gt;16%&lt;30%",F348,IF(M34="&gt;30%&lt;40%",F349,IF(M34="&gt;40%&lt;50%",F350,IF(M34="&gt;50%&lt;60%",F351,IF(M34="&gt;60%&lt;70%",F352,IF(M34="&gt;70%&lt;84%",F353,F353)))))))</f>
        <v>1077.2173450159419</v>
      </c>
      <c r="Q34" s="131">
        <f>IF(N34="&lt;16%",F354,IF(N34="&gt;16%&lt;30%",F355,IF(N34="&gt;30%&lt;40%",F356,IF(N34="&gt;40%&lt;50%",F357,IF(N34="&gt;50%&lt;60%",F358,IF(N34="&gt;60%&lt;70%",F359,IF(N34="&gt;70%&lt;84%",F360,F360)))))))</f>
        <v>107.72173450159418</v>
      </c>
      <c r="U34" s="119"/>
      <c r="V34" s="322" t="s">
        <v>616</v>
      </c>
      <c r="W34" s="318">
        <v>32</v>
      </c>
      <c r="X34" s="319">
        <v>2E-3</v>
      </c>
      <c r="Y34" s="319">
        <v>7.5000000000000002E-4</v>
      </c>
      <c r="Z34" s="319">
        <v>5.0000000000000001E-4</v>
      </c>
      <c r="AA34" s="319">
        <v>2.5000000000000001E-4</v>
      </c>
      <c r="AB34" s="320">
        <v>3.7499999999999999E-3</v>
      </c>
      <c r="AC34" s="321">
        <v>5.0000000000000001E-4</v>
      </c>
      <c r="AD34" s="321" t="s">
        <v>223</v>
      </c>
      <c r="AE34" s="321" t="s">
        <v>223</v>
      </c>
      <c r="AF34" s="321" t="s">
        <v>223</v>
      </c>
      <c r="AG34" s="321" t="s">
        <v>223</v>
      </c>
      <c r="AH34" s="321" t="s">
        <v>223</v>
      </c>
    </row>
    <row r="35" spans="1:34" ht="13.5" thickBot="1" x14ac:dyDescent="0.25">
      <c r="A35" s="83" t="s">
        <v>194</v>
      </c>
      <c r="B35" t="s">
        <v>66</v>
      </c>
      <c r="C35">
        <v>1</v>
      </c>
      <c r="D35">
        <v>5</v>
      </c>
      <c r="E35" s="3"/>
      <c r="F35" s="66">
        <v>12000</v>
      </c>
      <c r="I35" s="25"/>
      <c r="J35" s="26"/>
      <c r="K35" s="129"/>
      <c r="L35" s="26"/>
      <c r="M35" s="26"/>
      <c r="N35" s="26"/>
      <c r="O35" s="26"/>
      <c r="P35" s="130"/>
      <c r="Q35" s="131"/>
      <c r="U35" s="119"/>
      <c r="V35" s="322" t="s">
        <v>617</v>
      </c>
      <c r="W35" s="318">
        <v>33</v>
      </c>
      <c r="X35" s="319">
        <v>1.6000000000000001E-3</v>
      </c>
      <c r="Y35" s="319">
        <v>5.9999999999999995E-4</v>
      </c>
      <c r="Z35" s="319">
        <v>4.0000000000000002E-4</v>
      </c>
      <c r="AA35" s="319">
        <v>2.0000000000000001E-4</v>
      </c>
      <c r="AB35" s="320">
        <v>3.0000000000000001E-3</v>
      </c>
      <c r="AC35" s="321">
        <v>4.0000000000000002E-4</v>
      </c>
      <c r="AD35" s="321" t="s">
        <v>223</v>
      </c>
      <c r="AE35" s="321" t="s">
        <v>223</v>
      </c>
      <c r="AF35" s="321" t="s">
        <v>223</v>
      </c>
      <c r="AG35" s="321" t="s">
        <v>223</v>
      </c>
      <c r="AH35" s="321" t="s">
        <v>223</v>
      </c>
    </row>
    <row r="36" spans="1:34" ht="13.5" thickBot="1" x14ac:dyDescent="0.25">
      <c r="A36" s="83" t="s">
        <v>194</v>
      </c>
      <c r="B36" t="s">
        <v>67</v>
      </c>
      <c r="C36">
        <v>1</v>
      </c>
      <c r="D36">
        <v>5</v>
      </c>
      <c r="E36" s="3">
        <v>0.25</v>
      </c>
      <c r="F36" s="65">
        <f>F$35*POWER(10,C36*E36/D36)</f>
        <v>13464.221451623564</v>
      </c>
      <c r="I36" s="132" t="s">
        <v>189</v>
      </c>
      <c r="J36" s="133" t="s">
        <v>191</v>
      </c>
      <c r="K36" s="134">
        <f>(POWER(G$4,C$368)*H$4)</f>
        <v>14789.201509055989</v>
      </c>
      <c r="L36" s="133" t="str">
        <f>IF(K36&gt;F367,"&gt;84%",IF(K36&gt;F366,"&gt;70%&lt;84%",IF(K36&gt;F365,"&gt;60%&lt;70%",IF(K36&gt;F364,"&gt;50%&lt;60%",IF(K36&gt;F363,"&gt;40%&lt;50%",IF(K36&gt;F362,"&gt;30%&lt;40%",IF(K36&gt;F361,"&gt;16%&lt;30%","&lt;16%")))))))</f>
        <v>&gt;84%</v>
      </c>
      <c r="M36" s="133" t="str">
        <f>IF(K36&gt;F374,"&gt;84%",IF(K36&gt;F373,"&gt;70%&lt;84%",IF(K36&gt;F372,"&gt;60%&lt;70%",IF(K36&gt;F371,"&gt;50%&lt;60%",IF(K36&gt;F370,"&gt;40%&lt;50%",IF(K36&gt;F369,"&gt;30%&lt;40%",IF(K36&gt;F368,"&gt;16%&lt;30%","&lt;16%")))))))</f>
        <v>&gt;84%</v>
      </c>
      <c r="N36" s="133" t="str">
        <f>IF(K36&gt;F381,"&gt;84%",IF(K36&gt;F380,"&gt;70%&lt;84%",IF(K36&gt;F379,"&gt;60%&lt;70%",IF(K36&gt;F378,"&gt;50%&lt;60%",IF(K36&gt;F377,"&gt;40%&lt;50%",IF(K36&gt;F376,"&gt;30%&lt;40%",IF(K36&gt;F375,"&gt;16%&lt;30%","&lt;16%")))))))</f>
        <v>&gt;84%</v>
      </c>
      <c r="O36" s="135">
        <f>IF(L36="&lt;16%",F361,IF(L36="&gt;16%&lt;30%",F362,IF(L36="&gt;30%&lt;40%",F363,IF(L36="&gt;40%&lt;50%",F364,IF(L36="&gt;50%&lt;60%",F365,IF(L36="&gt;60%&lt;70%",F366,IF(L36="&gt;70%&lt;84%",F367,E374)))))))</f>
        <v>1</v>
      </c>
      <c r="P36" s="135">
        <f>IF(M36="&lt;16%",F368,IF(M36="&gt;16%&lt;30%",F369,IF(M36="&gt;30%&lt;40%",F370,IF(M36="&gt;40%&lt;50%",F371,IF(M36="&gt;50%&lt;60%",F372,IF(M36="&gt;60%&lt;70%",F373,IF(M36="&gt;70%&lt;84%",F374,F374)))))))</f>
        <v>430.88693800637674</v>
      </c>
      <c r="Q36" s="136">
        <f>IF(N36="&lt;16%",F375,IF(N36="&gt;16%&lt;30%",F376,IF(N36="&gt;30%&lt;40%",F377,IF(N36="&gt;40%&lt;50%",F378,IF(N36="&gt;50%&lt;60%",F379,IF(N36="&gt;60%&lt;70%",F380,IF(N36="&gt;70%&lt;84%",F381,F381)))))))</f>
        <v>53.860867250797092</v>
      </c>
      <c r="U36" s="119"/>
      <c r="V36" s="322" t="s">
        <v>618</v>
      </c>
      <c r="W36" s="318">
        <v>34</v>
      </c>
      <c r="X36" s="319">
        <v>1.33E-3</v>
      </c>
      <c r="Y36" s="319">
        <v>5.0000000000000001E-4</v>
      </c>
      <c r="Z36" s="319">
        <v>3.3E-3</v>
      </c>
      <c r="AA36" s="319">
        <v>1.7000000000000001E-4</v>
      </c>
      <c r="AB36" s="320">
        <v>2.5000000000000001E-3</v>
      </c>
      <c r="AC36" s="321">
        <v>3.0000000000000001E-5</v>
      </c>
      <c r="AD36" s="321" t="s">
        <v>223</v>
      </c>
      <c r="AE36" s="321" t="s">
        <v>223</v>
      </c>
      <c r="AF36" s="321" t="s">
        <v>223</v>
      </c>
      <c r="AG36" s="321" t="s">
        <v>223</v>
      </c>
      <c r="AH36" s="321" t="s">
        <v>223</v>
      </c>
    </row>
    <row r="37" spans="1:34" ht="13.5" thickBot="1" x14ac:dyDescent="0.25">
      <c r="A37" s="83" t="s">
        <v>194</v>
      </c>
      <c r="B37" t="s">
        <v>68</v>
      </c>
      <c r="C37">
        <v>1</v>
      </c>
      <c r="D37">
        <v>5</v>
      </c>
      <c r="E37" s="3">
        <v>0.52</v>
      </c>
      <c r="F37" s="65">
        <f>F$35*POWER(10,C37*E37/D37)</f>
        <v>15246.889262502502</v>
      </c>
      <c r="U37" s="119"/>
      <c r="V37" s="322" t="s">
        <v>619</v>
      </c>
      <c r="W37" s="318">
        <v>35</v>
      </c>
      <c r="X37" s="319">
        <v>1.14E-3</v>
      </c>
      <c r="Y37" s="319">
        <v>4.2999999999999999E-4</v>
      </c>
      <c r="Z37" s="319">
        <v>2.9E-4</v>
      </c>
      <c r="AA37" s="319">
        <v>1.3999999999999999E-4</v>
      </c>
      <c r="AB37" s="320">
        <v>2.14E-3</v>
      </c>
      <c r="AC37" s="321">
        <v>3.0000000000000001E-5</v>
      </c>
      <c r="AD37" s="321" t="s">
        <v>223</v>
      </c>
      <c r="AE37" s="321" t="s">
        <v>223</v>
      </c>
      <c r="AF37" s="321" t="s">
        <v>223</v>
      </c>
      <c r="AG37" s="321" t="s">
        <v>223</v>
      </c>
      <c r="AH37" s="321" t="s">
        <v>223</v>
      </c>
    </row>
    <row r="38" spans="1:34" ht="13.5" thickBot="1" x14ac:dyDescent="0.25">
      <c r="A38" s="83"/>
      <c r="B38" t="s">
        <v>69</v>
      </c>
      <c r="C38">
        <v>1</v>
      </c>
      <c r="D38">
        <v>5</v>
      </c>
      <c r="E38">
        <v>1</v>
      </c>
      <c r="F38" s="65">
        <f>F$35*POWER(10,C38*E38/D38)</f>
        <v>19018.718309533364</v>
      </c>
      <c r="I38" s="421" t="s">
        <v>157</v>
      </c>
      <c r="J38" s="422"/>
      <c r="K38" s="422"/>
      <c r="L38" s="422"/>
      <c r="M38" s="422"/>
      <c r="N38" s="422"/>
      <c r="O38" s="422"/>
      <c r="P38" s="422"/>
      <c r="Q38" s="423"/>
      <c r="R38" s="123"/>
      <c r="U38" s="119"/>
      <c r="V38" s="322" t="s">
        <v>620</v>
      </c>
      <c r="W38" s="318">
        <v>36</v>
      </c>
      <c r="X38" s="319">
        <v>1.14E-3</v>
      </c>
      <c r="Y38" s="319">
        <v>4.2999999999999999E-4</v>
      </c>
      <c r="Z38" s="319">
        <v>2.9E-4</v>
      </c>
      <c r="AA38" s="319">
        <v>1.3999999999999999E-4</v>
      </c>
      <c r="AB38" s="320">
        <v>2.14E-3</v>
      </c>
      <c r="AC38" s="321">
        <v>3.0000000000000001E-5</v>
      </c>
      <c r="AD38" s="321" t="s">
        <v>223</v>
      </c>
      <c r="AE38" s="321" t="s">
        <v>223</v>
      </c>
      <c r="AF38" s="321" t="s">
        <v>223</v>
      </c>
      <c r="AG38" s="321" t="s">
        <v>223</v>
      </c>
      <c r="AH38" s="321" t="s">
        <v>223</v>
      </c>
    </row>
    <row r="39" spans="1:34" ht="13.5" thickBot="1" x14ac:dyDescent="0.25">
      <c r="A39" s="83" t="s">
        <v>194</v>
      </c>
      <c r="B39" t="s">
        <v>176</v>
      </c>
      <c r="C39">
        <v>1</v>
      </c>
      <c r="D39">
        <v>5</v>
      </c>
      <c r="E39">
        <v>-1</v>
      </c>
      <c r="F39" s="65">
        <f>F$42*POWER(10,C39*E39/D39)</f>
        <v>1261.9146889603865</v>
      </c>
      <c r="I39" s="153" t="s">
        <v>55</v>
      </c>
      <c r="J39" s="154" t="s">
        <v>56</v>
      </c>
      <c r="K39" s="154" t="s">
        <v>91</v>
      </c>
      <c r="L39" s="154" t="s">
        <v>98</v>
      </c>
      <c r="M39" s="154" t="s">
        <v>97</v>
      </c>
      <c r="N39" s="154" t="s">
        <v>99</v>
      </c>
      <c r="O39" s="155" t="s">
        <v>103</v>
      </c>
      <c r="P39" s="155" t="s">
        <v>102</v>
      </c>
      <c r="Q39" s="156" t="s">
        <v>101</v>
      </c>
      <c r="U39" s="119"/>
      <c r="V39" s="322" t="s">
        <v>621</v>
      </c>
      <c r="W39" s="318">
        <v>37</v>
      </c>
      <c r="X39" s="319">
        <v>8.8999999999999995E-4</v>
      </c>
      <c r="Y39" s="319">
        <v>3.3E-4</v>
      </c>
      <c r="Z39" s="319">
        <v>2.2000000000000001E-4</v>
      </c>
      <c r="AA39" s="319">
        <v>1.1E-4</v>
      </c>
      <c r="AB39" s="320">
        <v>1.67E-3</v>
      </c>
      <c r="AC39" s="321">
        <v>2.0000000000000002E-5</v>
      </c>
      <c r="AD39" s="321" t="s">
        <v>223</v>
      </c>
      <c r="AE39" s="321" t="s">
        <v>223</v>
      </c>
      <c r="AF39" s="321" t="s">
        <v>223</v>
      </c>
      <c r="AG39" s="321" t="s">
        <v>223</v>
      </c>
      <c r="AH39" s="321" t="s">
        <v>223</v>
      </c>
    </row>
    <row r="40" spans="1:34" ht="13.5" thickBot="1" x14ac:dyDescent="0.25">
      <c r="A40" s="83" t="s">
        <v>194</v>
      </c>
      <c r="B40" t="s">
        <v>177</v>
      </c>
      <c r="C40">
        <v>1</v>
      </c>
      <c r="D40">
        <v>5</v>
      </c>
      <c r="E40" s="3">
        <v>-0.52</v>
      </c>
      <c r="F40" s="65">
        <f>F$42*POWER(10,C40*E40/D40)</f>
        <v>1574.091579390197</v>
      </c>
      <c r="I40" s="25" t="s">
        <v>54</v>
      </c>
      <c r="J40" s="26" t="s">
        <v>95</v>
      </c>
      <c r="K40" s="129">
        <f>(POWER(G$4,C$4)*H$4)</f>
        <v>116094.45277697644</v>
      </c>
      <c r="L40" s="26" t="str">
        <f>IF(K4&gt;(F10/2),"&gt;84%",IF(K4&gt;(F9/2),"&gt;70%&lt;84%",IF(K4&gt;(F8/2),"&gt;60%&lt;70%",IF(K4&gt;(F7/2),"&gt;50%&lt;60%",IF(K4&gt;(F6/2),"&gt;40%&lt;50%",IF(K4&gt;(F5/2),"&gt;30%&lt;40%",IF(K4&gt;(F4/2),"&gt;16%&lt;30%","&lt;16%")))))))</f>
        <v>&gt;84%</v>
      </c>
      <c r="M40" s="26" t="str">
        <f>IF(K4&gt;F17/2,"&gt;84%",IF(K4&gt;F16/2,"&gt;70%&lt;84%",IF(K4&gt;F15/2,"&gt;60%&lt;70%",IF(K4&gt;F14/2,"&gt;50%&lt;60%",IF(K4&gt;F13/2,"&gt;40%&lt;50%",IF(K4&gt;F12/2,"&gt;30%&lt;40%",IF(K4&gt;F11/2,"&gt;16%&lt;30%","&lt;16%")))))))</f>
        <v>&gt;84%</v>
      </c>
      <c r="N40" s="26"/>
      <c r="O40" s="130">
        <f>IF(L40="&lt;16%",F4/2,IF(L40="&gt;16%&lt;30%",F5/2,IF(L40="&gt;30%&lt;40%",F6/2,IF(L40="&gt;40%&lt;50%",F7/2,IF(L40="&gt;50%&lt;60%",F8/2,IF(L40="&gt;60%&lt;70%",F9/2,IF(L40="&gt;70%&lt;84%",F10/2,F10/2)))))))</f>
        <v>276.10561252941625</v>
      </c>
      <c r="P40" s="130">
        <f>IF(M40="&lt;16%",F11/2,IF(M40="&gt;16%&lt;30%",F12/2,IF(M40="&gt;30%&lt;40%",F13/2,IF(M40="&gt;40%&lt;50%",F14/2,IF(M40="&gt;50%&lt;60%",F15/2,IF(M40="&gt;60%&lt;70%",F16/2,IF(M40="&gt;70%&lt;84%",F17/2,F17/2)))))))</f>
        <v>176.56719307784431</v>
      </c>
      <c r="Q40" s="131"/>
      <c r="U40" s="119"/>
      <c r="V40" s="322" t="s">
        <v>622</v>
      </c>
      <c r="W40" s="318">
        <v>38</v>
      </c>
      <c r="X40" s="319">
        <v>8.0000000000000004E-4</v>
      </c>
      <c r="Y40" s="319">
        <v>2.9999999999999997E-4</v>
      </c>
      <c r="Z40" s="319">
        <v>2.0000000000000001E-4</v>
      </c>
      <c r="AA40" s="319">
        <v>1E-4</v>
      </c>
      <c r="AB40" s="320">
        <v>1.5E-3</v>
      </c>
      <c r="AC40" s="321">
        <v>2.0000000000000002E-5</v>
      </c>
      <c r="AD40" s="321" t="s">
        <v>223</v>
      </c>
      <c r="AE40" s="321" t="s">
        <v>223</v>
      </c>
      <c r="AF40" s="321" t="s">
        <v>223</v>
      </c>
      <c r="AG40" s="321" t="s">
        <v>223</v>
      </c>
      <c r="AH40" s="321" t="s">
        <v>223</v>
      </c>
    </row>
    <row r="41" spans="1:34" ht="13.5" thickBot="1" x14ac:dyDescent="0.25">
      <c r="A41" s="83" t="s">
        <v>194</v>
      </c>
      <c r="B41" t="s">
        <v>178</v>
      </c>
      <c r="C41">
        <v>1</v>
      </c>
      <c r="D41">
        <v>5</v>
      </c>
      <c r="E41" s="3">
        <v>-0.25</v>
      </c>
      <c r="F41" s="65">
        <f>F$42*POWER(10,C41*E41/D41)</f>
        <v>1782.5018762674908</v>
      </c>
      <c r="I41" s="25"/>
      <c r="J41" s="26" t="s">
        <v>96</v>
      </c>
      <c r="K41" s="129">
        <f>(POWER(G$4,C$18)*H$4)</f>
        <v>175301.17103771528</v>
      </c>
      <c r="L41" s="26"/>
      <c r="M41" s="26"/>
      <c r="N41" s="26" t="str">
        <f>IF(K5&gt;F24/2,"&gt;84%",IF(K5&gt;F23/2,"&gt;70%&lt;84%",IF(K5&gt;F22/2,"&gt;60%&lt;70%",IF(K5&gt;F21/2,"&gt;50%&lt;60%",IF(K5&gt;F20/2,"&gt;40%&lt;50%",IF(K5&gt;F19/2,"&gt;30%&lt;40%",IF(K5&gt;F18/2,"&gt;16%&lt;30%","&lt;16%")))))))</f>
        <v>&gt;84%</v>
      </c>
      <c r="O41" s="130"/>
      <c r="P41" s="130"/>
      <c r="Q41" s="131">
        <f>IF(N41="&lt;16%",F18/2,IF(N41="&gt;16%&lt;30%",F19/2,IF(N41="&gt;30%&lt;40%",F20/2,IF(N41="&gt;40%&lt;50%",F21/2,IF(N41="&gt;50%&lt;60%",F22/2,IF(N41="&gt;60%&lt;70%",F23/2,IF(N41="&gt;70%&lt;84%",F24/2,F24/2)))))))</f>
        <v>0.10985342257669048</v>
      </c>
      <c r="U41" s="119"/>
      <c r="V41" s="179" t="s">
        <v>270</v>
      </c>
      <c r="W41" s="183">
        <v>39</v>
      </c>
      <c r="X41" s="312">
        <v>4.0999999999999996</v>
      </c>
      <c r="Y41" s="312">
        <v>3.5</v>
      </c>
      <c r="Z41" s="313" t="s">
        <v>223</v>
      </c>
      <c r="AA41" s="313" t="s">
        <v>223</v>
      </c>
      <c r="AB41" s="313" t="s">
        <v>223</v>
      </c>
      <c r="AC41" s="313" t="s">
        <v>223</v>
      </c>
      <c r="AD41" s="313" t="s">
        <v>223</v>
      </c>
      <c r="AE41" s="313" t="s">
        <v>223</v>
      </c>
      <c r="AF41" s="313" t="s">
        <v>223</v>
      </c>
      <c r="AG41" s="313" t="s">
        <v>223</v>
      </c>
      <c r="AH41" s="313" t="s">
        <v>223</v>
      </c>
    </row>
    <row r="42" spans="1:34" ht="13.5" thickBot="1" x14ac:dyDescent="0.25">
      <c r="A42" s="83" t="s">
        <v>194</v>
      </c>
      <c r="B42" t="s">
        <v>179</v>
      </c>
      <c r="C42">
        <v>1</v>
      </c>
      <c r="D42">
        <v>5</v>
      </c>
      <c r="E42" s="3"/>
      <c r="F42" s="66">
        <v>2000</v>
      </c>
      <c r="I42" s="25"/>
      <c r="J42" s="26"/>
      <c r="K42" s="129"/>
      <c r="L42" s="26"/>
      <c r="M42" s="26"/>
      <c r="N42" s="26"/>
      <c r="O42" s="130"/>
      <c r="P42" s="130"/>
      <c r="Q42" s="131"/>
      <c r="U42" s="119"/>
      <c r="V42" s="184" t="s">
        <v>271</v>
      </c>
      <c r="W42" s="185">
        <v>40</v>
      </c>
      <c r="X42" s="311">
        <v>4.0999999999999996</v>
      </c>
      <c r="Y42" s="308" t="s">
        <v>223</v>
      </c>
      <c r="Z42" s="308" t="s">
        <v>223</v>
      </c>
      <c r="AA42" s="308" t="s">
        <v>223</v>
      </c>
      <c r="AB42" s="308" t="s">
        <v>223</v>
      </c>
      <c r="AC42" s="308">
        <v>1.9</v>
      </c>
      <c r="AD42" s="308" t="s">
        <v>223</v>
      </c>
      <c r="AE42" s="308" t="s">
        <v>223</v>
      </c>
      <c r="AF42" s="308" t="s">
        <v>223</v>
      </c>
      <c r="AG42" s="308" t="s">
        <v>223</v>
      </c>
      <c r="AH42" s="308" t="s">
        <v>223</v>
      </c>
    </row>
    <row r="43" spans="1:34" x14ac:dyDescent="0.2">
      <c r="A43" s="83" t="s">
        <v>194</v>
      </c>
      <c r="B43" t="s">
        <v>180</v>
      </c>
      <c r="C43">
        <v>1</v>
      </c>
      <c r="D43">
        <v>5</v>
      </c>
      <c r="E43" s="3">
        <v>0.25</v>
      </c>
      <c r="F43" s="65">
        <f>F$42*POWER(10,C43*E43/D43)</f>
        <v>2244.0369086039273</v>
      </c>
      <c r="I43" s="25" t="s">
        <v>78</v>
      </c>
      <c r="J43" s="26" t="s">
        <v>95</v>
      </c>
      <c r="K43" s="129">
        <f>(POWER(G$4,C$67)*H$4)</f>
        <v>116094.45277697644</v>
      </c>
      <c r="L43" s="26" t="str">
        <f>IF(K9&gt;F73/2,"&gt;84%",IF(K9&gt;F72/2,"&gt;70%&lt;84%",IF(K9&gt;F71/2,"&gt;60%&lt;70%",IF(K9&gt;F70/2,"&gt;50%&lt;60%",IF(K9&gt;F69/2,"&gt;40%&lt;50%",IF(K9&gt;F68/2,"&gt;30%&lt;40%",IF(K9&gt;F67/2,"&gt;16%&lt;30%","&lt;16%")))))))</f>
        <v>&gt;84%</v>
      </c>
      <c r="M43" s="26" t="str">
        <f>IF(K9&gt;F80/2,"&gt;84%",IF(K9&gt;F79/2,"&gt;70%&lt;84%",IF(K9&gt;F78/2,"&gt;60%&lt;70%",IF(K9&gt;F77/2,"&gt;50%&lt;60%",IF(K9&gt;F76/2,"&gt;40%&lt;50%",IF(K9&gt;F75/2,"&gt;30%&lt;40%",IF(K9&gt;F74/2,"&gt;16%&lt;30%","&lt;16%")))))))</f>
        <v>&gt;84%</v>
      </c>
      <c r="N43" s="26"/>
      <c r="O43" s="130">
        <f>IF(L43="&lt;16%",F67/2,IF(L43="&gt;16%&lt;30%",F68/2,IF(L43="&gt;30%&lt;40%",F69/2,IF(L43="&gt;40%&lt;50%",F70/2,IF(L43="&gt;50%&lt;60%",F71/2,IF(L43="&gt;60%&lt;70%",F72/2,IF(L43="&gt;70%&lt;84%",F73/2,F73/2)))))))</f>
        <v>97.613768834355312</v>
      </c>
      <c r="P43" s="130">
        <f>IF(M43="&lt;16%",F74/2,IF(M43="&gt;16%&lt;30%",F75/2,IF(M43="&gt;30%&lt;40%",F76/2,IF(M43="&gt;40%&lt;50%",F77/2,IF(M43="&gt;50%&lt;60%",F78/2,IF(M43="&gt;60%&lt;70%",F79/2,IF(M43="&gt;70%&lt;84%",F80/2,F80/2)))))))</f>
        <v>58.9349796944581</v>
      </c>
      <c r="Q43" s="131"/>
      <c r="U43" s="119"/>
      <c r="V43" s="119"/>
      <c r="W43" s="119"/>
      <c r="X43" s="119"/>
      <c r="Y43" s="119"/>
      <c r="Z43" s="119"/>
      <c r="AA43" s="119"/>
      <c r="AB43" s="119"/>
    </row>
    <row r="44" spans="1:34" x14ac:dyDescent="0.2">
      <c r="A44" s="83" t="s">
        <v>194</v>
      </c>
      <c r="B44" t="s">
        <v>181</v>
      </c>
      <c r="C44">
        <v>1</v>
      </c>
      <c r="D44">
        <v>5</v>
      </c>
      <c r="E44" s="3">
        <v>0.52</v>
      </c>
      <c r="F44" s="65">
        <f>F$42*POWER(10,C44*E44/D44)</f>
        <v>2541.1482104170836</v>
      </c>
      <c r="I44" s="25"/>
      <c r="J44" s="26" t="s">
        <v>96</v>
      </c>
      <c r="K44" s="129">
        <f>(POWER(G$4,C$81)*H$4)</f>
        <v>116094.45277697644</v>
      </c>
      <c r="L44" s="26"/>
      <c r="M44" s="26"/>
      <c r="N44" s="26" t="str">
        <f>IF(K9&gt;F87/2,"&gt;84%",IF(K9&gt;F86/2,"&gt;70%&lt;84%",IF(K9&gt;F85/2,"&gt;60%&lt;70%",IF(K9&gt;F84/2,"&gt;50%&lt;60%",IF(K9&gt;F83/2,"&gt;40%&lt;50%",IF(K9&gt;F82/2,"&gt;30%&lt;40%",IF(K9&gt;F81/2,"&gt;16%&lt;30%","&lt;16%")))))))</f>
        <v>&gt;84%</v>
      </c>
      <c r="O44" s="130"/>
      <c r="P44" s="130"/>
      <c r="Q44" s="131">
        <f>IF(N44="&lt;16%",F81/2,IF(N44="&gt;16%&lt;30%",F82/2,IF(N44="&gt;30%&lt;40%",F83/2,IF(N44="&gt;40%&lt;50%",F84/2,IF(N44="&gt;50%&lt;60%",F85/2,IF(N44="&gt;60%&lt;70%",F86/2,IF(N44="&gt;70%&lt;84%",F87/2,F87/2)))))))</f>
        <v>0.10735285339132933</v>
      </c>
      <c r="U44" s="119"/>
      <c r="V44" s="119"/>
      <c r="W44" s="119"/>
      <c r="X44" s="119"/>
      <c r="Y44" s="119"/>
      <c r="Z44" s="119"/>
      <c r="AA44" s="119"/>
      <c r="AB44" s="119"/>
    </row>
    <row r="45" spans="1:34" x14ac:dyDescent="0.2">
      <c r="A45" s="83" t="s">
        <v>194</v>
      </c>
      <c r="B45" t="s">
        <v>182</v>
      </c>
      <c r="C45">
        <v>1</v>
      </c>
      <c r="D45">
        <v>5</v>
      </c>
      <c r="E45">
        <v>1</v>
      </c>
      <c r="F45" s="65">
        <f>F$42*POWER(10,C45*E45/D45)</f>
        <v>3169.7863849222272</v>
      </c>
      <c r="I45" s="25"/>
      <c r="J45" s="26"/>
      <c r="K45" s="129"/>
      <c r="L45" s="26"/>
      <c r="M45" s="26"/>
      <c r="N45" s="26"/>
      <c r="O45" s="130"/>
      <c r="P45" s="130"/>
      <c r="Q45" s="131"/>
      <c r="U45" s="119"/>
      <c r="V45" s="119"/>
      <c r="W45" s="119"/>
      <c r="X45" s="119"/>
      <c r="Y45" s="119"/>
      <c r="Z45" s="119"/>
      <c r="AA45" s="119"/>
      <c r="AB45" s="119"/>
    </row>
    <row r="46" spans="1:34" x14ac:dyDescent="0.2">
      <c r="A46" s="83" t="s">
        <v>195</v>
      </c>
      <c r="B46" t="s">
        <v>57</v>
      </c>
      <c r="C46">
        <v>1</v>
      </c>
      <c r="D46">
        <v>5</v>
      </c>
      <c r="E46">
        <v>-1</v>
      </c>
      <c r="F46" s="65">
        <f>F$49*POWER(10,C46*E46/D46)</f>
        <v>4732.180083601449</v>
      </c>
      <c r="I46" s="25" t="s">
        <v>79</v>
      </c>
      <c r="J46" s="26" t="s">
        <v>95</v>
      </c>
      <c r="K46" s="129">
        <f>(POWER(G$4,C$130)*H$4)</f>
        <v>41436.026066724735</v>
      </c>
      <c r="L46" s="26" t="str">
        <f>IF(K14&gt;F136/2,"&gt;84%",IF(K14&gt;F135/2,"&gt;70%&lt;84%",IF(K14&gt;F134/2,"&gt;60%&lt;70%",IF(K14&gt;F133/2,"&gt;50%&lt;60%",IF(K14&gt;F132/2,"&gt;40%&lt;50%",IF(K14&gt;F131/2,"&gt;30%&lt;40%",IF(K14&gt;F130/2,"&gt;16%&lt;30%","&lt;16%")))))))</f>
        <v>&gt;84%</v>
      </c>
      <c r="M46" s="26" t="str">
        <f>IF(K14&gt;F143/2,"&gt;84%",IF(K14&gt;F142/2,"&gt;70%&lt;84%",IF(K14&gt;F141/2,"&gt;60%&lt;70%",IF(K14&gt;F140/2,"&gt;50%&lt;60%",IF(K14&gt;F139/2,"&gt;40%&lt;50%",IF(K14&gt;F138/2,"&gt;30%&lt;40%",IF(K14&gt;F137/2,"&gt;16%&lt;30%","&lt;16%")))))))</f>
        <v>&gt;84%</v>
      </c>
      <c r="N46" s="26"/>
      <c r="O46" s="130">
        <f>IF(L46="&lt;16%",F130/2,IF(L46="&gt;16%&lt;30%",F131/2,IF(L46="&gt;30%&lt;40%",F132/2,IF(L46="&gt;40%&lt;50%",F133/2,IF(L46="&gt;50%&lt;60%",F134/2,IF(L46="&gt;60%&lt;70%",F135/2,IF(L46="&gt;70%&lt;84%",F136/2,F136/2)))))))</f>
        <v>45.504012426207865</v>
      </c>
      <c r="P46" s="130">
        <f>IF(M46="&lt;16%",F137/2,IF(M46="&gt;16%&lt;30%",F138/2,IF(M46="&gt;30%&lt;40%",F139/2,IF(M46="&gt;40%&lt;50%",F140/2,IF(M46="&gt;50%&lt;60%",F141/2,IF(M46="&gt;60%&lt;70%",F142/2,IF(M46="&gt;70%&lt;84%",F143/2,F143/2)))))))</f>
        <v>29.869952290946504</v>
      </c>
      <c r="Q46" s="131"/>
      <c r="U46" s="119"/>
      <c r="V46" s="119"/>
      <c r="W46" s="119"/>
      <c r="X46" s="119"/>
      <c r="Y46" s="119"/>
      <c r="Z46" s="119"/>
      <c r="AA46" s="119"/>
      <c r="AB46" s="119"/>
    </row>
    <row r="47" spans="1:34" x14ac:dyDescent="0.2">
      <c r="A47" s="83" t="s">
        <v>195</v>
      </c>
      <c r="B47" t="s">
        <v>58</v>
      </c>
      <c r="C47">
        <v>1</v>
      </c>
      <c r="D47">
        <v>5</v>
      </c>
      <c r="E47" s="3">
        <v>-0.52</v>
      </c>
      <c r="F47" s="65">
        <f>F$49*POWER(10,C47*E47/D47)</f>
        <v>5902.8434227132393</v>
      </c>
      <c r="I47" s="25"/>
      <c r="J47" s="26" t="s">
        <v>96</v>
      </c>
      <c r="K47" s="129">
        <f>(POWER(G$4,C$144)*H$4)</f>
        <v>76884.38066786158</v>
      </c>
      <c r="L47" s="26"/>
      <c r="M47" s="26"/>
      <c r="N47" s="26" t="str">
        <f>IF(K15&gt;F150/2,"&gt;84%",IF(K15&gt;F149/2,"&gt;70%&lt;84%",IF(K15&gt;F148/2,"&gt;60%&lt;70%",IF(K15&gt;F147/2,"&gt;50%&lt;60%",IF(K15&gt;F146/2,"&gt;40%&lt;50%",IF(K15&gt;F145/2,"&gt;30%&lt;40%",IF(K15&gt;F144/2,"&gt;16%&lt;30%","&lt;16%")))))))</f>
        <v>&gt;84%</v>
      </c>
      <c r="O47" s="130"/>
      <c r="P47" s="130"/>
      <c r="Q47" s="131">
        <f>IF(N47="&lt;16%",F144/2,IF(N47="&gt;16%&lt;30%",F145/2,IF(N47="&gt;30%&lt;40%",F146/2,IF(N47="&gt;40%&lt;50%",F147/2,IF(N47="&gt;50%&lt;60%",F148/2,IF(N47="&gt;60%&lt;70%",F149/2,IF(N47="&gt;70%&lt;84%",F150/2,F150/2)))))))</f>
        <v>5.5215370584115395E-2</v>
      </c>
      <c r="U47" s="119"/>
      <c r="V47" s="119"/>
      <c r="W47" s="119"/>
      <c r="X47" s="119"/>
      <c r="Y47" s="119"/>
      <c r="Z47" s="119"/>
      <c r="AA47" s="119"/>
      <c r="AB47" s="119"/>
    </row>
    <row r="48" spans="1:34" ht="18" x14ac:dyDescent="0.25">
      <c r="A48" s="83" t="s">
        <v>195</v>
      </c>
      <c r="B48" t="s">
        <v>59</v>
      </c>
      <c r="C48">
        <v>1</v>
      </c>
      <c r="D48">
        <v>5</v>
      </c>
      <c r="E48" s="3">
        <v>-0.25</v>
      </c>
      <c r="F48" s="65">
        <f>F$49*POWER(10,C48*E48/D48)</f>
        <v>6684.3820360030904</v>
      </c>
      <c r="I48" s="25"/>
      <c r="J48" s="26"/>
      <c r="K48" s="129"/>
      <c r="L48" s="26"/>
      <c r="M48" s="26"/>
      <c r="N48" s="26"/>
      <c r="O48" s="130"/>
      <c r="P48" s="130"/>
      <c r="Q48" s="131"/>
      <c r="U48" s="119"/>
      <c r="V48" s="119" t="s">
        <v>5</v>
      </c>
      <c r="W48" s="119"/>
      <c r="X48" s="119"/>
      <c r="Y48" s="119"/>
      <c r="Z48" s="119"/>
      <c r="AA48" s="119"/>
      <c r="AB48" s="119"/>
      <c r="AG48" s="1"/>
    </row>
    <row r="49" spans="1:28" x14ac:dyDescent="0.2">
      <c r="A49" s="83" t="s">
        <v>195</v>
      </c>
      <c r="B49" t="s">
        <v>60</v>
      </c>
      <c r="C49">
        <v>1</v>
      </c>
      <c r="D49">
        <v>5</v>
      </c>
      <c r="E49" s="3"/>
      <c r="F49" s="66">
        <v>7500</v>
      </c>
      <c r="I49" s="25" t="s">
        <v>80</v>
      </c>
      <c r="J49" s="26" t="s">
        <v>95</v>
      </c>
      <c r="K49" s="129">
        <f>(POWER(G$4,C$235)*H$4)</f>
        <v>41436.026066724735</v>
      </c>
      <c r="L49" s="26" t="str">
        <f>IF(K17&gt;F241/2,"&gt;84%",IF(K17&gt;F240/2,"&gt;70%&lt;84%",IF(K17&gt;F239/2,"&gt;60%&lt;70%",IF(K17&gt;F238/2,"&gt;50%&lt;60%",IF(K17&gt;F237/2,"&gt;40%&lt;50%",IF(K17&gt;F236/2,"&gt;30%&lt;40%",IF(K17&gt;F235/2,"&gt;16%&lt;30%","&lt;16%")))))))</f>
        <v>&gt;84%</v>
      </c>
      <c r="M49" s="26" t="str">
        <f>IF(K17&gt;F248/2,"&gt;84%",IF(K17&gt;F247/2,"&gt;70%&lt;84%",IF(K17&gt;F246/2,"&gt;60%&lt;70%",IF(K17&gt;F245/2,"&gt;50%&lt;60%",IF(K17&gt;F244/2,"&gt;40%&lt;50%",IF(K17&gt;F243/2,"&gt;30%&lt;40%",IF(K17&gt;F242/2,"&gt;16%&lt;30%","&lt;16%")))))))</f>
        <v>&gt;84%</v>
      </c>
      <c r="N49" s="26"/>
      <c r="O49" s="130">
        <f>IF(L49="&lt;16%",F235/2,IF(L49="&gt;16%&lt;30%",F236/2,IF(L49="&gt;30%&lt;40%",F237/2,IF(L49="&gt;40%&lt;50%",F238/2,IF(L49="&gt;50%&lt;60%",F239/2,IF(L49="&gt;60%&lt;70%",F240/2,IF(L49="&gt;70%&lt;84%",F241/2,F241/2)))))))</f>
        <v>45.504012426207865</v>
      </c>
      <c r="P49" s="130">
        <f>IF(M49="&lt;16%",F242/2,IF(M49="&gt;16%&lt;30%",F243/2,IF(M49="&gt;30%&lt;40%",F244/2,IF(M49="&gt;40%&lt;50%",F245/2,IF(M49="&gt;50%&lt;60%",F246/2,IF(M49="&gt;60%&lt;70%",F247/2,IF(M49="&gt;70%&lt;84%",F248/2,F248/2)))))))</f>
        <v>29.869952290946504</v>
      </c>
      <c r="Q49" s="131"/>
      <c r="U49" s="119"/>
      <c r="V49" s="119" t="s">
        <v>6</v>
      </c>
      <c r="W49" s="119"/>
      <c r="X49" s="119"/>
      <c r="Y49" s="119"/>
      <c r="Z49" s="119"/>
      <c r="AA49" s="119"/>
      <c r="AB49" s="119"/>
    </row>
    <row r="50" spans="1:28" x14ac:dyDescent="0.2">
      <c r="A50" s="83" t="s">
        <v>195</v>
      </c>
      <c r="B50" t="s">
        <v>61</v>
      </c>
      <c r="C50">
        <v>1</v>
      </c>
      <c r="D50">
        <v>5</v>
      </c>
      <c r="E50" s="3">
        <v>0.25</v>
      </c>
      <c r="F50" s="65">
        <f>F$49*POWER(10,C50*E50/D50)</f>
        <v>8415.138407264727</v>
      </c>
      <c r="I50" s="25"/>
      <c r="J50" s="26" t="s">
        <v>96</v>
      </c>
      <c r="K50" s="129">
        <f>(POWER(G$4,C$249)*H$4)</f>
        <v>76884.38066786158</v>
      </c>
      <c r="L50" s="26"/>
      <c r="M50" s="26"/>
      <c r="N50" s="26" t="str">
        <f>IF(K18&gt;F255/2,"&gt;84%",IF(K18&gt;F254/2,"&gt;70%&lt;84%",IF(K18&gt;F253/2,"&gt;60%&lt;70%",IF(K18&gt;F252/2,"&gt;50%&lt;60%",IF(K18&gt;F251/2,"&gt;40%&lt;50%",IF(K18&gt;F250/2,"&gt;30%&lt;40%",IF(K18&gt;F249/2,"&gt;16%&lt;30%","&lt;16%")))))))</f>
        <v>&gt;84%</v>
      </c>
      <c r="O50" s="130"/>
      <c r="P50" s="130"/>
      <c r="Q50" s="131">
        <f>IF(N50="&lt;16%",F249/2,IF(N50="&gt;16%&lt;30%",F250/2,IF(N50="&gt;30%&lt;40%",F251/2,IF(N50="&gt;40%&lt;50%",F252/2,IF(N50="&gt;50%&lt;60%",F253/2,IF(N50="&gt;60%&lt;70%",F254/2,IF(N50="&gt;70%&lt;84%",F255/2,F255/2)))))))</f>
        <v>5.5215370584115395E-2</v>
      </c>
      <c r="U50" s="119"/>
      <c r="V50" s="119"/>
      <c r="W50" s="119"/>
      <c r="X50" s="119"/>
      <c r="Y50" s="119"/>
      <c r="Z50" s="119"/>
      <c r="AA50" s="119"/>
      <c r="AB50" s="119"/>
    </row>
    <row r="51" spans="1:28" x14ac:dyDescent="0.2">
      <c r="A51" s="83" t="s">
        <v>195</v>
      </c>
      <c r="B51" t="s">
        <v>62</v>
      </c>
      <c r="C51">
        <v>1</v>
      </c>
      <c r="D51">
        <v>5</v>
      </c>
      <c r="E51" s="3">
        <v>0.52</v>
      </c>
      <c r="F51" s="65">
        <f>F$49*POWER(10,C51*E51/D51)</f>
        <v>9529.305789064063</v>
      </c>
      <c r="I51" s="25"/>
      <c r="J51" s="26"/>
      <c r="K51" s="129"/>
      <c r="L51" s="26"/>
      <c r="M51" s="26"/>
      <c r="N51" s="26"/>
      <c r="O51" s="130"/>
      <c r="P51" s="130"/>
      <c r="Q51" s="131"/>
      <c r="U51" s="119"/>
      <c r="V51" s="119" t="s">
        <v>54</v>
      </c>
      <c r="W51" s="119"/>
      <c r="X51" s="119"/>
      <c r="Y51" s="119"/>
      <c r="Z51" s="119"/>
      <c r="AA51" s="119"/>
      <c r="AB51" s="119"/>
    </row>
    <row r="52" spans="1:28" x14ac:dyDescent="0.2">
      <c r="A52" s="83" t="s">
        <v>195</v>
      </c>
      <c r="B52" t="s">
        <v>63</v>
      </c>
      <c r="C52">
        <v>1</v>
      </c>
      <c r="D52">
        <v>5</v>
      </c>
      <c r="E52">
        <v>1</v>
      </c>
      <c r="F52" s="65">
        <f>F$49*POWER(10,C52*E52/D52)</f>
        <v>11886.698943458352</v>
      </c>
      <c r="I52" s="25" t="s">
        <v>81</v>
      </c>
      <c r="J52" s="26" t="s">
        <v>100</v>
      </c>
      <c r="K52" s="129">
        <f>(POWER(G$4,C$256)*H$4)</f>
        <v>14789.201509055989</v>
      </c>
      <c r="L52" s="26" t="str">
        <f>IF(K26&gt;F262/2,"&gt;84%",IF(K26&gt;F261/2,"&gt;70%&lt;84%",IF(K26&gt;F260/2,"&gt;60%&lt;70%",IF(K26&gt;F259/2,"&gt;50%&lt;60%",IF(K26&gt;F258/2,"&gt;40%&lt;50%",IF(K26&gt;F257/2,"&gt;30%&lt;40%",IF(K26&gt;F256/2,"&gt;16%&lt;30%","&lt;16%")))))))</f>
        <v>&gt;84%</v>
      </c>
      <c r="M52" s="26" t="str">
        <f>IF(K26&gt;F269/2,"&gt;84%",IF(K26&gt;F268/2,"&gt;70%&lt;84%",IF(K26&gt;F267/2,"&gt;60%&lt;70%",IF(K26&gt;F266/2,"&gt;50%&lt;60%",IF(K26&gt;F265/2,"&gt;40%&lt;50%",IF(K26&gt;F264/2,"&gt;30%&lt;40%",IF(K26&gt;F263/2,"&gt;16%&lt;30%","&lt;16%")))))))</f>
        <v>&gt;84%</v>
      </c>
      <c r="N52" s="26" t="str">
        <f>IF(K26&gt;F276/2,"&gt;84%",IF(K26&gt;F275/2,"&gt;70%&lt;84%",IF(K26&gt;F274/2,"&gt;60%&lt;70%",IF(K26&gt;F273/2,"&gt;50%&lt;60%",IF(K26&gt;F272/2,"&gt;40%&lt;50%",IF(K26&gt;F271/2,"&gt;30%&lt;40%",IF(K26&gt;F270/2,"&gt;16%&lt;30%","&lt;16%")))))))</f>
        <v>&gt;84%</v>
      </c>
      <c r="O52" s="130">
        <f>IF(L52="&lt;16%",F256/2,IF(L52="&gt;16%&lt;30%",F257/2,IF(L52="&gt;30%&lt;40%",F258/2,IF(L52="&gt;40%&lt;50%",F259/2,IF(L52="&gt;50%&lt;60%",F260/2,IF(L52="&gt;60%&lt;70%",F261/2,IF(L52="&gt;70%&lt;84%",F262/2,F262/2)))))))</f>
        <v>11.008494507165523</v>
      </c>
      <c r="P52" s="130">
        <f>IF(M52="&lt;16%",F263/2,IF(M52="&gt;16%&lt;30%",F264/2,IF(M52="&gt;30%&lt;40%",F265/2,IF(M52="&gt;40%&lt;50%",F266/2,IF(M52="&gt;50%&lt;60%",F267/2,IF(M52="&gt;60%&lt;70%",F268/2,IF(M52="&gt;70%&lt;84%",F269/2,F269/2)))))))</f>
        <v>7.3389963381103485</v>
      </c>
      <c r="Q52" s="131">
        <f>IF(N52="&lt;16%",F270/2,IF(N52="&gt;16%&lt;30%",F271/2,IF(N52="&gt;30%&lt;40%",F272/2,IF(N52="&gt;40%&lt;50%",F273/2,IF(N52="&gt;50%&lt;60%",F274/2,IF(N52="&gt;60%&lt;70%",F275/2,IF(N52="&gt;70%&lt;84%",F276/2,F276/2)))))))</f>
        <v>8.891397050194616E-2</v>
      </c>
      <c r="U52" s="119"/>
      <c r="V52" s="119" t="s">
        <v>2</v>
      </c>
      <c r="W52" s="119" t="s">
        <v>19</v>
      </c>
      <c r="X52" s="119"/>
      <c r="Y52" s="119"/>
      <c r="Z52" s="119"/>
      <c r="AA52" s="119"/>
      <c r="AB52" s="119"/>
    </row>
    <row r="53" spans="1:28" x14ac:dyDescent="0.2">
      <c r="A53" s="83" t="s">
        <v>195</v>
      </c>
      <c r="B53" t="s">
        <v>70</v>
      </c>
      <c r="C53">
        <v>1</v>
      </c>
      <c r="D53">
        <v>5</v>
      </c>
      <c r="E53">
        <v>-1</v>
      </c>
      <c r="F53" s="65">
        <f>F$56*POWER(10,C53*E53/D53)</f>
        <v>3785.7440668811596</v>
      </c>
      <c r="I53" s="25"/>
      <c r="J53" s="26"/>
      <c r="K53" s="129"/>
      <c r="L53" s="26"/>
      <c r="M53" s="26"/>
      <c r="N53" s="26"/>
      <c r="O53" s="130"/>
      <c r="P53" s="130"/>
      <c r="Q53" s="131"/>
      <c r="U53" s="119"/>
      <c r="V53" s="119" t="s">
        <v>9</v>
      </c>
      <c r="W53" s="119" t="s">
        <v>20</v>
      </c>
      <c r="X53" s="119"/>
      <c r="Y53" s="119"/>
      <c r="Z53" s="119"/>
      <c r="AA53" s="119"/>
      <c r="AB53" s="119"/>
    </row>
    <row r="54" spans="1:28" x14ac:dyDescent="0.2">
      <c r="A54" s="83" t="s">
        <v>195</v>
      </c>
      <c r="B54" t="s">
        <v>64</v>
      </c>
      <c r="C54">
        <v>1</v>
      </c>
      <c r="D54">
        <v>5</v>
      </c>
      <c r="E54" s="3">
        <v>-0.52</v>
      </c>
      <c r="F54" s="65">
        <f>F$56*POWER(10,C54*E54/D54)</f>
        <v>4722.2747381705913</v>
      </c>
      <c r="I54" s="25"/>
      <c r="J54" s="26"/>
      <c r="K54" s="129"/>
      <c r="L54" s="26"/>
      <c r="M54" s="26"/>
      <c r="N54" s="26"/>
      <c r="O54" s="130"/>
      <c r="P54" s="130"/>
      <c r="Q54" s="131"/>
      <c r="U54" s="119"/>
      <c r="V54" s="119" t="s">
        <v>11</v>
      </c>
      <c r="W54" s="119" t="s">
        <v>12</v>
      </c>
      <c r="X54" s="119"/>
      <c r="Y54" s="119"/>
      <c r="Z54" s="119"/>
      <c r="AA54" s="119"/>
      <c r="AB54" s="119"/>
    </row>
    <row r="55" spans="1:28" ht="13.5" thickBot="1" x14ac:dyDescent="0.25">
      <c r="A55" s="83" t="s">
        <v>195</v>
      </c>
      <c r="B55" t="s">
        <v>65</v>
      </c>
      <c r="C55">
        <v>1</v>
      </c>
      <c r="D55">
        <v>5</v>
      </c>
      <c r="E55" s="3">
        <v>-0.25</v>
      </c>
      <c r="F55" s="65">
        <f>F$56*POWER(10,C55*E55/D55)</f>
        <v>5347.5056288024725</v>
      </c>
      <c r="I55" s="132" t="s">
        <v>183</v>
      </c>
      <c r="J55" s="133" t="s">
        <v>146</v>
      </c>
      <c r="K55" s="134">
        <f>(POWER(G$4,C$319)*H$4)</f>
        <v>116094.45277697644</v>
      </c>
      <c r="L55" s="133" t="str">
        <f>IF(K55&gt;F325/2,"&gt;84%",IF(K55&gt;F324/2,"&gt;70%&lt;84%",IF(K55&gt;F323/2,"&gt;60%&lt;70%",IF(K55&gt;F322/2,"&gt;50%&lt;60%",IF(K55&gt;F321/2,"&gt;40%&lt;50%",IF(K55&gt;F320/2,"&gt;30%&lt;40%",IF(K55&gt;F319/2,"&gt;16%&lt;30%","&lt;16%")))))))</f>
        <v>&gt;84%</v>
      </c>
      <c r="M55" s="133"/>
      <c r="N55" s="133"/>
      <c r="O55" s="135">
        <f>IF(L55="&lt;16%",F319/2,IF(L55="&gt;16%&lt;30%",F320/2,IF(L55="&gt;30%&lt;40%",F321/2,IF(L55="&gt;40%&lt;50%",F322/2,IF(L55="&gt;50%&lt;60%",F323/2,IF(L55="&gt;60%&lt;70%",F324/2,IF(L55="&gt;70%&lt;84%",F325/2,F325/2)))))))</f>
        <v>19881.163804235159</v>
      </c>
      <c r="P55" s="135"/>
      <c r="Q55" s="136"/>
      <c r="U55" s="119"/>
      <c r="V55" s="119"/>
      <c r="W55" s="119"/>
      <c r="X55" s="119"/>
      <c r="Y55" s="119"/>
      <c r="Z55" s="119"/>
      <c r="AA55" s="119"/>
      <c r="AB55" s="119"/>
    </row>
    <row r="56" spans="1:28" x14ac:dyDescent="0.2">
      <c r="A56" s="83" t="s">
        <v>195</v>
      </c>
      <c r="B56" t="s">
        <v>66</v>
      </c>
      <c r="C56">
        <v>1</v>
      </c>
      <c r="D56">
        <v>5</v>
      </c>
      <c r="E56" s="3"/>
      <c r="F56" s="66">
        <v>6000</v>
      </c>
      <c r="K56" s="17"/>
      <c r="U56" s="119"/>
      <c r="V56" s="119" t="s">
        <v>88</v>
      </c>
      <c r="W56" s="119"/>
      <c r="X56" s="119"/>
      <c r="Y56" s="119"/>
      <c r="Z56" s="119"/>
      <c r="AA56" s="119"/>
      <c r="AB56" s="119"/>
    </row>
    <row r="57" spans="1:28" ht="13.5" thickBot="1" x14ac:dyDescent="0.25">
      <c r="A57" s="83" t="s">
        <v>195</v>
      </c>
      <c r="B57" t="s">
        <v>67</v>
      </c>
      <c r="C57">
        <v>1</v>
      </c>
      <c r="D57">
        <v>5</v>
      </c>
      <c r="E57" s="3">
        <v>0.25</v>
      </c>
      <c r="F57" s="65">
        <f>F$56*POWER(10,C57*E57/D57)</f>
        <v>6732.1107258117818</v>
      </c>
      <c r="U57" s="119"/>
      <c r="V57" s="119"/>
      <c r="W57" s="119"/>
      <c r="X57" s="119"/>
      <c r="Y57" s="119"/>
      <c r="Z57" s="119"/>
      <c r="AA57" s="119"/>
      <c r="AB57" s="119"/>
    </row>
    <row r="58" spans="1:28" ht="13.5" thickBot="1" x14ac:dyDescent="0.25">
      <c r="A58" s="83" t="s">
        <v>195</v>
      </c>
      <c r="B58" t="s">
        <v>68</v>
      </c>
      <c r="C58">
        <v>1</v>
      </c>
      <c r="D58">
        <v>5</v>
      </c>
      <c r="E58" s="3">
        <v>0.52</v>
      </c>
      <c r="F58" s="65">
        <f>F$56*POWER(10,C58*E58/D58)</f>
        <v>7623.4446312512509</v>
      </c>
      <c r="I58" s="421" t="s">
        <v>158</v>
      </c>
      <c r="J58" s="422"/>
      <c r="K58" s="422"/>
      <c r="L58" s="422"/>
      <c r="M58" s="422"/>
      <c r="N58" s="422"/>
      <c r="O58" s="422"/>
      <c r="P58" s="422"/>
      <c r="Q58" s="423"/>
      <c r="R58" s="123"/>
      <c r="U58" s="119"/>
      <c r="V58" s="119" t="s">
        <v>85</v>
      </c>
      <c r="W58" s="119"/>
      <c r="X58" s="119"/>
      <c r="Y58" s="119"/>
      <c r="Z58" s="119"/>
      <c r="AA58" s="119"/>
      <c r="AB58" s="119"/>
    </row>
    <row r="59" spans="1:28" x14ac:dyDescent="0.2">
      <c r="A59" s="83" t="s">
        <v>195</v>
      </c>
      <c r="B59" t="s">
        <v>69</v>
      </c>
      <c r="C59">
        <v>1</v>
      </c>
      <c r="D59">
        <v>5</v>
      </c>
      <c r="E59">
        <v>1</v>
      </c>
      <c r="F59" s="65">
        <f>F$56*POWER(10,C59*E59/D59)</f>
        <v>9509.359154766682</v>
      </c>
      <c r="I59" s="153" t="s">
        <v>55</v>
      </c>
      <c r="J59" s="154" t="s">
        <v>56</v>
      </c>
      <c r="K59" s="154" t="s">
        <v>91</v>
      </c>
      <c r="L59" s="154" t="s">
        <v>98</v>
      </c>
      <c r="M59" s="154" t="s">
        <v>97</v>
      </c>
      <c r="N59" s="154" t="s">
        <v>99</v>
      </c>
      <c r="O59" s="155" t="s">
        <v>103</v>
      </c>
      <c r="P59" s="155" t="s">
        <v>102</v>
      </c>
      <c r="Q59" s="156" t="s">
        <v>101</v>
      </c>
      <c r="U59" s="119"/>
      <c r="V59" s="119"/>
      <c r="W59" s="119"/>
      <c r="X59" s="119"/>
      <c r="Y59" s="119"/>
      <c r="Z59" s="119"/>
      <c r="AA59" s="119"/>
      <c r="AB59" s="119"/>
    </row>
    <row r="60" spans="1:28" x14ac:dyDescent="0.2">
      <c r="A60" s="83" t="s">
        <v>195</v>
      </c>
      <c r="B60" t="s">
        <v>176</v>
      </c>
      <c r="C60">
        <v>1</v>
      </c>
      <c r="D60">
        <v>5</v>
      </c>
      <c r="E60">
        <v>-1</v>
      </c>
      <c r="F60" s="65">
        <f>F$63*POWER(10,C60*E60/D60)</f>
        <v>630.95734448019323</v>
      </c>
      <c r="I60" s="25" t="s">
        <v>54</v>
      </c>
      <c r="J60" s="26" t="s">
        <v>95</v>
      </c>
      <c r="K60" s="129">
        <f>(POWER(G$4,C$4)*H$4)</f>
        <v>116094.45277697644</v>
      </c>
      <c r="L60" s="26" t="str">
        <f>IF(K4&gt;(F10/3),"&gt;84%",IF(K4&gt;(F9/3),"&gt;70%&lt;84%",IF(K4&gt;(F8/3),"&gt;60%&lt;70%",IF(K4&gt;(F7/3),"&gt;50%&lt;60%",IF(K4&gt;(F6/3),"&gt;40%&lt;50%",IF(K4&gt;(F5/3),"&gt;30%&lt;40%",IF(K4&gt;(F4/3),"&gt;16%&lt;30%","&lt;16%")))))))</f>
        <v>&gt;84%</v>
      </c>
      <c r="M60" s="26" t="str">
        <f>IF(K4&gt;F17/3,"&gt;84%",IF(K4&gt;F16/3,"&gt;70%&lt;84%",IF(K4&gt;F15/3,"&gt;60%&lt;70%",IF(K4&gt;F14/3,"&gt;50%&lt;60%",IF(K4&gt;F13/3,"&gt;40%&lt;50%",IF(K4&gt;F12/3,"&gt;30%&lt;40%",IF(K4&gt;F11/3,"&gt;16%&lt;30%","&lt;16%")))))))</f>
        <v>&gt;84%</v>
      </c>
      <c r="N60" s="26"/>
      <c r="O60" s="130">
        <f>IF(L60="&lt;16%",F4/3,IF(L60="&gt;16%&lt;30%",F5/3,IF(L60="&gt;30%&lt;40%",F6/3,IF(L60="&gt;40%&lt;50%",F7/3,IF(L60="&gt;50%&lt;60%",F8/3,IF(L60="&gt;60%&lt;70%",F9/3,IF(L60="&gt;70%&lt;84%",F10/3,F10/3)))))))</f>
        <v>184.07040835294416</v>
      </c>
      <c r="P60" s="130">
        <f>IF(M60="&lt;16%",F11/3,IF(M60="&gt;16%&lt;30%",F12/3,IF(M60="&gt;30%&lt;40%",F13/3,IF(M60="&gt;40%&lt;50%",F14/3,IF(M60="&gt;50%&lt;60%",F15/3,IF(M60="&gt;60%&lt;70%",F16/3,IF(M60="&gt;70%&lt;84%",F17/3,F17/3)))))))</f>
        <v>117.71146205189621</v>
      </c>
      <c r="Q60" s="131"/>
      <c r="V60" s="119" t="s">
        <v>78</v>
      </c>
      <c r="W60" s="119"/>
      <c r="X60" s="119"/>
      <c r="Y60" s="119"/>
      <c r="Z60" s="119"/>
      <c r="AA60" s="119"/>
      <c r="AB60" s="119"/>
    </row>
    <row r="61" spans="1:28" x14ac:dyDescent="0.2">
      <c r="A61" s="83" t="s">
        <v>195</v>
      </c>
      <c r="B61" t="s">
        <v>177</v>
      </c>
      <c r="C61">
        <v>1</v>
      </c>
      <c r="D61">
        <v>5</v>
      </c>
      <c r="E61" s="3">
        <v>-0.52</v>
      </c>
      <c r="F61" s="65">
        <f>F$63*POWER(10,C61*E61/D61)</f>
        <v>787.04578969509851</v>
      </c>
      <c r="I61" s="25"/>
      <c r="J61" s="26" t="s">
        <v>96</v>
      </c>
      <c r="K61" s="129">
        <f>(POWER(G$4,C$18)*H$4)</f>
        <v>175301.17103771528</v>
      </c>
      <c r="L61" s="26"/>
      <c r="M61" s="26"/>
      <c r="N61" s="26" t="str">
        <f>IF(K5&gt;F24/3,"&gt;84%",IF(K5&gt;F23/3,"&gt;70%&lt;84%",IF(K5&gt;F22/3,"&gt;60%&lt;70%",IF(K5&gt;F21/3,"&gt;50%&lt;60%",IF(K5&gt;F20/3,"&gt;40%&lt;50%",IF(K5&gt;F19/3,"&gt;30%&lt;40%",IF(K5&gt;F18/3,"&gt;16%&lt;30%","&lt;16%")))))))</f>
        <v>&gt;84%</v>
      </c>
      <c r="O61" s="130"/>
      <c r="P61" s="130"/>
      <c r="Q61" s="131">
        <f>IF(N61="&lt;16%",F18/3,IF(N61="&gt;16%&lt;30%",F19/3,IF(N61="&gt;30%&lt;40%",F20/3,IF(N61="&gt;40%&lt;50%",F21/3,IF(N61="&gt;50%&lt;60%",F22/3,IF(N61="&gt;60%&lt;70%",F23/3,IF(N61="&gt;70%&lt;84%",F24/3,F24/3)))))))</f>
        <v>7.3235615051126982E-2</v>
      </c>
      <c r="V61" s="119" t="s">
        <v>2</v>
      </c>
      <c r="W61" s="119" t="s">
        <v>3</v>
      </c>
      <c r="X61" s="119"/>
      <c r="Y61" s="119"/>
      <c r="Z61" s="119"/>
      <c r="AA61" s="119"/>
      <c r="AB61" s="119"/>
    </row>
    <row r="62" spans="1:28" x14ac:dyDescent="0.2">
      <c r="A62" s="83" t="s">
        <v>195</v>
      </c>
      <c r="B62" t="s">
        <v>178</v>
      </c>
      <c r="C62">
        <v>1</v>
      </c>
      <c r="D62">
        <v>5</v>
      </c>
      <c r="E62" s="3">
        <v>-0.25</v>
      </c>
      <c r="F62" s="65">
        <f>F$63*POWER(10,C62*E62/D62)</f>
        <v>891.25093813374542</v>
      </c>
      <c r="I62" s="25"/>
      <c r="J62" s="26"/>
      <c r="K62" s="129"/>
      <c r="L62" s="26"/>
      <c r="M62" s="26"/>
      <c r="N62" s="26"/>
      <c r="O62" s="130"/>
      <c r="P62" s="130"/>
      <c r="Q62" s="131"/>
      <c r="V62" s="119" t="s">
        <v>9</v>
      </c>
      <c r="W62" s="119" t="s">
        <v>10</v>
      </c>
      <c r="X62" s="119"/>
      <c r="Y62" s="119"/>
      <c r="Z62" s="119"/>
      <c r="AA62" s="119"/>
      <c r="AB62" s="119"/>
    </row>
    <row r="63" spans="1:28" x14ac:dyDescent="0.2">
      <c r="A63" s="83" t="s">
        <v>195</v>
      </c>
      <c r="B63" t="s">
        <v>179</v>
      </c>
      <c r="C63">
        <v>1</v>
      </c>
      <c r="D63">
        <v>5</v>
      </c>
      <c r="E63" s="3"/>
      <c r="F63" s="66">
        <v>1000</v>
      </c>
      <c r="I63" s="25" t="s">
        <v>78</v>
      </c>
      <c r="J63" s="26" t="s">
        <v>95</v>
      </c>
      <c r="K63" s="129">
        <f>(POWER(G$4,C$67)*H$4)</f>
        <v>116094.45277697644</v>
      </c>
      <c r="L63" s="26" t="str">
        <f>IF(K9&gt;F73/3,"&gt;84%",IF(K9&gt;F72/3,"&gt;70%&lt;84%",IF(K9&gt;F71/3,"&gt;60%&lt;70%",IF(K9&gt;F70/3,"&gt;50%&lt;60%",IF(K9&gt;F69/3,"&gt;40%&lt;50%",IF(K9&gt;F68/3,"&gt;30%&lt;40%",IF(K9&gt;F67/3,"&gt;16%&lt;30%","&lt;16%")))))))</f>
        <v>&gt;84%</v>
      </c>
      <c r="M63" s="26" t="str">
        <f>IF(K9&gt;F80/3,"&gt;84%",IF(K9&gt;F79/3,"&gt;70%&lt;84%",IF(K9&gt;F78/3,"&gt;60%&lt;70%",IF(K9&gt;F77/3,"&gt;50%&lt;60%",IF(K9&gt;F76/3,"&gt;40%&lt;50%",IF(K9&gt;F75/3,"&gt;30%&lt;40%",IF(K9&gt;F74/3,"&gt;16%&lt;30%","&lt;16%")))))))</f>
        <v>&gt;84%</v>
      </c>
      <c r="N63" s="26"/>
      <c r="O63" s="130">
        <f>IF(L63="&lt;16%",F67/3,IF(L63="&gt;16%&lt;30%",F68/3,IF(L63="&gt;30%&lt;40%",F69/3,IF(L63="&gt;40%&lt;50%",F70/3,IF(L63="&gt;50%&lt;60%",F71/3,IF(L63="&gt;60%&lt;70%",F72/3,IF(L63="&gt;70%&lt;84%",F73/3,F73/3)))))))</f>
        <v>65.075845889570203</v>
      </c>
      <c r="P63" s="130">
        <f>IF(M63="&lt;16%",F74/3,IF(M63="&gt;16%&lt;30%",F75/3,IF(M63="&gt;30%&lt;40%",F76/3,IF(M63="&gt;40%&lt;50%",F77/3,IF(M63="&gt;50%&lt;60%",F78/3,IF(M63="&gt;60%&lt;70%",F79/3,IF(M63="&gt;70%&lt;84%",F80/3,F80/3)))))))</f>
        <v>39.289986462972067</v>
      </c>
      <c r="Q63" s="131"/>
      <c r="V63" s="119" t="s">
        <v>11</v>
      </c>
      <c r="W63" s="119" t="s">
        <v>12</v>
      </c>
      <c r="X63" s="119"/>
      <c r="Y63" s="119"/>
      <c r="Z63" s="119"/>
      <c r="AA63" s="119"/>
      <c r="AB63" s="119"/>
    </row>
    <row r="64" spans="1:28" x14ac:dyDescent="0.2">
      <c r="A64" s="83" t="s">
        <v>195</v>
      </c>
      <c r="B64" t="s">
        <v>180</v>
      </c>
      <c r="C64">
        <v>1</v>
      </c>
      <c r="D64">
        <v>5</v>
      </c>
      <c r="E64" s="3">
        <v>0.25</v>
      </c>
      <c r="F64" s="65">
        <f>F$63*POWER(10,C64*E64/D64)</f>
        <v>1122.0184543019636</v>
      </c>
      <c r="I64" s="25"/>
      <c r="J64" s="26" t="s">
        <v>96</v>
      </c>
      <c r="K64" s="129">
        <f>(POWER(G$4,C$81)*H$4)</f>
        <v>116094.45277697644</v>
      </c>
      <c r="L64" s="26"/>
      <c r="M64" s="26"/>
      <c r="N64" s="26" t="str">
        <f>IF(K9&gt;F87/3,"&gt;84%",IF(K9&gt;F86/3,"&gt;70%&lt;84%",IF(K9&gt;F85/3,"&gt;60%&lt;70%",IF(K9&gt;F84/3,"&gt;50%&lt;60%",IF(K9&gt;F83/3,"&gt;40%&lt;50%",IF(K9&gt;F82/3,"&gt;30%&lt;40%",IF(K9&gt;F81/3,"&gt;16%&lt;30%","&lt;16%")))))))</f>
        <v>&gt;84%</v>
      </c>
      <c r="O64" s="130"/>
      <c r="P64" s="130"/>
      <c r="Q64" s="131">
        <f>IF(N64="&lt;16%",F81/3,IF(N64="&gt;16%&lt;30%",F82/3,IF(N64="&gt;30%&lt;40%",F83/3,IF(N64="&gt;40%&lt;50%",F84/3,IF(N64="&gt;50%&lt;60%",F85/3,IF(N64="&gt;60%&lt;70%",F86/3,IF(N64="&gt;70%&lt;84%",F87/3,F87/3)))))))</f>
        <v>7.1568568927552881E-2</v>
      </c>
      <c r="V64" s="119"/>
      <c r="W64" s="119"/>
      <c r="X64" s="119"/>
      <c r="Y64" s="119"/>
      <c r="Z64" s="119"/>
      <c r="AA64" s="119"/>
      <c r="AB64" s="119"/>
    </row>
    <row r="65" spans="1:33" x14ac:dyDescent="0.2">
      <c r="A65" s="83" t="s">
        <v>195</v>
      </c>
      <c r="B65" t="s">
        <v>181</v>
      </c>
      <c r="C65">
        <v>1</v>
      </c>
      <c r="D65">
        <v>5</v>
      </c>
      <c r="E65" s="3">
        <v>0.52</v>
      </c>
      <c r="F65" s="65">
        <f>F$63*POWER(10,C65*E65/D65)</f>
        <v>1270.5741052085418</v>
      </c>
      <c r="I65" s="25"/>
      <c r="J65" s="26"/>
      <c r="K65" s="129"/>
      <c r="L65" s="26"/>
      <c r="M65" s="26"/>
      <c r="N65" s="26"/>
      <c r="O65" s="130"/>
      <c r="P65" s="130"/>
      <c r="Q65" s="131"/>
      <c r="V65" s="119" t="s">
        <v>88</v>
      </c>
      <c r="W65" s="119"/>
      <c r="X65" s="119"/>
      <c r="Y65" s="119"/>
      <c r="Z65" s="119"/>
      <c r="AA65" s="119"/>
      <c r="AB65" s="119"/>
    </row>
    <row r="66" spans="1:33" x14ac:dyDescent="0.2">
      <c r="A66" s="83" t="s">
        <v>195</v>
      </c>
      <c r="B66" t="s">
        <v>182</v>
      </c>
      <c r="C66">
        <v>1</v>
      </c>
      <c r="D66">
        <v>5</v>
      </c>
      <c r="E66">
        <v>1</v>
      </c>
      <c r="F66" s="65">
        <f>F$63*POWER(10,C66*E66/D66)</f>
        <v>1584.8931924611136</v>
      </c>
      <c r="I66" s="25" t="s">
        <v>79</v>
      </c>
      <c r="J66" s="26" t="s">
        <v>95</v>
      </c>
      <c r="K66" s="129">
        <f>(POWER(G$4,C$130)*H$4)</f>
        <v>41436.026066724735</v>
      </c>
      <c r="L66" s="26" t="str">
        <f>IF(K14&gt;F136/3,"&gt;84%",IF(K14&gt;F135/3,"&gt;70%&lt;84%",IF(K14&gt;F134/3,"&gt;60%&lt;70%",IF(K14&gt;F133/3,"&gt;50%&lt;60%",IF(K14&gt;F132/3,"&gt;40%&lt;50%",IF(K14&gt;F131/3,"&gt;30%&lt;40%",IF(K14&gt;F130/3,"&gt;16%&lt;30%","&lt;16%")))))))</f>
        <v>&gt;84%</v>
      </c>
      <c r="M66" s="26" t="str">
        <f>IF(K14&gt;F143/3,"&gt;84%",IF(K14&gt;F142/3,"&gt;70%&lt;84%",IF(K14&gt;F141/3,"&gt;60%&lt;70%",IF(K14&gt;F140/3,"&gt;50%&lt;60%",IF(K14&gt;F139/3,"&gt;40%&lt;50%",IF(K14&gt;F138/3,"&gt;30%&lt;40%",IF(K14&gt;F137/3,"&gt;16%&lt;30%","&lt;16%")))))))</f>
        <v>&gt;84%</v>
      </c>
      <c r="N66" s="26"/>
      <c r="O66" s="130">
        <f>IF(L66="&lt;16%",F130/3,IF(L66="&gt;16%&lt;30%",F131/3,IF(L66="&gt;30%&lt;40%",F132/3,IF(L66="&gt;40%&lt;50%",F133/3,IF(L66="&gt;50%&lt;60%",F134/3,IF(L66="&gt;60%&lt;70%",F135/3,IF(L66="&gt;70%&lt;84%",F136/3,F136/3)))))))</f>
        <v>30.336008284138575</v>
      </c>
      <c r="P66" s="130">
        <f>IF(M66="&lt;16%",F137/3,IF(M66="&gt;16%&lt;30%",F138/3,IF(M66="&gt;30%&lt;40%",F139/3,IF(M66="&gt;40%&lt;50%",F140/3,IF(M66="&gt;50%&lt;60%",F141/3,IF(M66="&gt;60%&lt;70%",F142/3,IF(M66="&gt;70%&lt;84%",F143/3,F143/3)))))))</f>
        <v>19.913301527297669</v>
      </c>
      <c r="Q66" s="131"/>
      <c r="V66" s="119"/>
      <c r="W66" s="119"/>
      <c r="X66" s="119"/>
      <c r="Y66" s="119"/>
      <c r="Z66" s="119"/>
      <c r="AA66" s="119"/>
      <c r="AB66" s="119"/>
    </row>
    <row r="67" spans="1:33" x14ac:dyDescent="0.2">
      <c r="A67" s="6" t="s">
        <v>78</v>
      </c>
      <c r="B67" t="s">
        <v>57</v>
      </c>
      <c r="C67">
        <v>1.5</v>
      </c>
      <c r="D67">
        <v>12</v>
      </c>
      <c r="E67">
        <v>-1</v>
      </c>
      <c r="F67" s="65">
        <f>F70*POWER(10,C67*E67/D67)</f>
        <v>109.78451224627155</v>
      </c>
      <c r="I67" s="25"/>
      <c r="J67" s="26" t="s">
        <v>96</v>
      </c>
      <c r="K67" s="129">
        <f>(POWER(G$4,C$144)*H$4)</f>
        <v>76884.38066786158</v>
      </c>
      <c r="L67" s="26"/>
      <c r="M67" s="26"/>
      <c r="N67" s="26" t="str">
        <f>IF(K15&gt;F150/3,"&gt;84%",IF(K15&gt;F149/3,"&gt;70%&lt;84%",IF(K15&gt;F148/3,"&gt;60%&lt;70%",IF(K15&gt;F147/3,"&gt;50%&lt;60%",IF(K15&gt;F146/3,"&gt;40%&lt;50%",IF(K15&gt;F145/3,"&gt;30%&lt;40%",IF(K15&gt;F144/3,"&gt;16%&lt;30%","&lt;16%")))))))</f>
        <v>&gt;84%</v>
      </c>
      <c r="O67" s="130"/>
      <c r="P67" s="130"/>
      <c r="Q67" s="131">
        <f>IF(N67="&lt;16%",F144/3,IF(N67="&gt;16%&lt;30%",F145/3,IF(N67="&gt;30%&lt;40%",F146/3,IF(N67="&gt;40%&lt;50%",F147/3,IF(N67="&gt;50%&lt;60%",F148/3,IF(N67="&gt;60%&lt;70%",F149/3,IF(N67="&gt;70%&lt;84%",F150/3,F150/3)))))))</f>
        <v>3.6810247056076932E-2</v>
      </c>
      <c r="V67" s="119" t="s">
        <v>85</v>
      </c>
      <c r="W67" s="119"/>
      <c r="X67" s="119"/>
      <c r="Y67" s="119"/>
      <c r="Z67" s="119"/>
      <c r="AA67" s="119"/>
      <c r="AB67" s="119"/>
    </row>
    <row r="68" spans="1:33" x14ac:dyDescent="0.2">
      <c r="A68" s="6" t="s">
        <v>78</v>
      </c>
      <c r="B68" t="s">
        <v>58</v>
      </c>
      <c r="C68">
        <v>1.5</v>
      </c>
      <c r="D68">
        <v>12</v>
      </c>
      <c r="E68" s="3">
        <v>-0.52</v>
      </c>
      <c r="F68" s="65">
        <f>F70*POWER(10,C68*E68/D68)</f>
        <v>126.04948531982554</v>
      </c>
      <c r="I68" s="25"/>
      <c r="J68" s="26"/>
      <c r="K68" s="129"/>
      <c r="L68" s="26"/>
      <c r="M68" s="26"/>
      <c r="N68" s="26"/>
      <c r="O68" s="130"/>
      <c r="P68" s="130"/>
      <c r="Q68" s="131"/>
      <c r="V68" s="119"/>
      <c r="W68" s="119"/>
      <c r="X68" s="119"/>
      <c r="Y68" s="119"/>
      <c r="Z68" s="119"/>
      <c r="AA68" s="119"/>
      <c r="AB68" s="119"/>
    </row>
    <row r="69" spans="1:33" ht="18" x14ac:dyDescent="0.25">
      <c r="A69" s="6" t="s">
        <v>78</v>
      </c>
      <c r="B69" t="s">
        <v>59</v>
      </c>
      <c r="C69">
        <v>1.5</v>
      </c>
      <c r="D69">
        <v>12</v>
      </c>
      <c r="E69" s="3">
        <v>-0.25</v>
      </c>
      <c r="F69" s="65">
        <f>F70*POWER(10,C69*E69/D69)</f>
        <v>136.23574679210793</v>
      </c>
      <c r="I69" s="25" t="s">
        <v>80</v>
      </c>
      <c r="J69" s="26" t="s">
        <v>95</v>
      </c>
      <c r="K69" s="129">
        <f>(POWER(G$4,C$235)*H$4)</f>
        <v>41436.026066724735</v>
      </c>
      <c r="L69" s="26" t="str">
        <f>IF(K17&gt;F241/3,"&gt;84%",IF(K17&gt;F240/3,"&gt;70%&lt;84%",IF(K17&gt;F239/3,"&gt;60%&lt;70%",IF(K17&gt;F238/3,"&gt;50%&lt;60%",IF(K17&gt;F237/3,"&gt;40%&lt;50%",IF(K17&gt;F236/3,"&gt;30%&lt;40%",IF(K17&gt;F235/3,"&gt;16%&lt;30%","&lt;16%")))))))</f>
        <v>&gt;84%</v>
      </c>
      <c r="M69" s="26" t="str">
        <f>IF(K17&gt;F248/3,"&gt;84%",IF(K17&gt;F247/3,"&gt;70%&lt;84%",IF(K17&gt;F246/3,"&gt;60%&lt;70%",IF(K17&gt;F245/3,"&gt;50%&lt;60%",IF(K17&gt;F244/3,"&gt;40%&lt;50%",IF(K17&gt;F243/3,"&gt;30%&lt;40%",IF(K17&gt;F242/3,"&gt;16%&lt;30%","&lt;16%")))))))</f>
        <v>&gt;84%</v>
      </c>
      <c r="N69" s="26"/>
      <c r="O69" s="130">
        <f>IF(L69="&lt;16%",F235/3,IF(L69="&gt;16%&lt;30%",F236/3,IF(L69="&gt;30%&lt;40%",F237/3,IF(L69="&gt;40%&lt;50%",F238/3,IF(L69="&gt;50%&lt;60%",F239/3,IF(L69="&gt;60%&lt;70%",F240/3,IF(L69="&gt;70%&lt;84%",F241/3,F241/3)))))))</f>
        <v>30.336008284138575</v>
      </c>
      <c r="P69" s="130">
        <f>IF(M69="&lt;16%",F242/3,IF(M69="&gt;16%&lt;30%",F243/3,IF(M69="&gt;30%&lt;40%",F244/3,IF(M69="&gt;40%&lt;50%",F245/3,IF(M69="&gt;50%&lt;60%",F246/3,IF(M69="&gt;60%&lt;70%",F247/3,IF(M69="&gt;70%&lt;84%",F248/3,F248/3)))))))</f>
        <v>19.913301527297669</v>
      </c>
      <c r="Q69" s="131"/>
      <c r="V69" s="119"/>
      <c r="W69" s="119"/>
      <c r="X69" s="119"/>
      <c r="Y69" s="119"/>
      <c r="Z69" s="119"/>
      <c r="AA69" s="119"/>
      <c r="AB69" s="119"/>
      <c r="AG69" s="1"/>
    </row>
    <row r="70" spans="1:33" x14ac:dyDescent="0.2">
      <c r="A70" s="6" t="s">
        <v>78</v>
      </c>
      <c r="B70" t="s">
        <v>60</v>
      </c>
      <c r="E70" s="3"/>
      <c r="F70" s="66">
        <v>146.4</v>
      </c>
      <c r="I70" s="25"/>
      <c r="J70" s="26" t="s">
        <v>96</v>
      </c>
      <c r="K70" s="129">
        <f>(POWER(G$4,C$249)*H$4)</f>
        <v>76884.38066786158</v>
      </c>
      <c r="L70" s="26"/>
      <c r="M70" s="26"/>
      <c r="N70" s="26" t="str">
        <f>IF(K18&gt;F255/3,"&gt;84%",IF(K18&gt;F254/3,"&gt;70%&lt;84%",IF(K18&gt;F253/3,"&gt;60%&lt;70%",IF(K18&gt;F252/3,"&gt;50%&lt;60%",IF(K18&gt;F251/3,"&gt;40%&lt;50%",IF(K18&gt;F250/3,"&gt;30%&lt;40%",IF(K18&gt;F249/3,"&gt;16%&lt;30%","&lt;16%")))))))</f>
        <v>&gt;84%</v>
      </c>
      <c r="O70" s="130"/>
      <c r="P70" s="130"/>
      <c r="Q70" s="131">
        <f>IF(N70="&lt;16%",F249/3,IF(N70="&gt;16%&lt;30%",F250/3,IF(N70="&gt;30%&lt;40%",F251/3,IF(N70="&gt;40%&lt;50%",F252/3,IF(N70="&gt;50%&lt;60%",F253/3,IF(N70="&gt;60%&lt;70%",F254/3,IF(N70="&gt;70%&lt;84%",F255/3,F255/3)))))))</f>
        <v>3.6810247056076932E-2</v>
      </c>
      <c r="V70" s="119" t="s">
        <v>79</v>
      </c>
      <c r="W70" s="119"/>
      <c r="X70" s="119"/>
      <c r="Y70" s="119"/>
      <c r="Z70" s="119"/>
      <c r="AA70" s="119"/>
      <c r="AB70" s="119"/>
    </row>
    <row r="71" spans="1:33" x14ac:dyDescent="0.2">
      <c r="A71" s="6" t="s">
        <v>78</v>
      </c>
      <c r="B71" t="s">
        <v>61</v>
      </c>
      <c r="C71">
        <v>1.5</v>
      </c>
      <c r="D71">
        <v>12</v>
      </c>
      <c r="E71" s="3">
        <v>0.25</v>
      </c>
      <c r="F71" s="65">
        <f>F70*POWER(10,C71*E71/D71)</f>
        <v>157.32258606624089</v>
      </c>
      <c r="I71" s="25"/>
      <c r="J71" s="26"/>
      <c r="K71" s="129"/>
      <c r="L71" s="26"/>
      <c r="M71" s="26"/>
      <c r="N71" s="26"/>
      <c r="O71" s="130"/>
      <c r="P71" s="130"/>
      <c r="Q71" s="131"/>
      <c r="V71" s="119" t="s">
        <v>2</v>
      </c>
      <c r="W71" s="119" t="s">
        <v>27</v>
      </c>
      <c r="X71" s="119"/>
      <c r="Y71" s="119"/>
      <c r="Z71" s="119"/>
      <c r="AA71" s="119"/>
      <c r="AB71" s="119"/>
    </row>
    <row r="72" spans="1:33" x14ac:dyDescent="0.2">
      <c r="A72" s="6" t="s">
        <v>78</v>
      </c>
      <c r="B72" t="s">
        <v>62</v>
      </c>
      <c r="C72">
        <v>1.5</v>
      </c>
      <c r="D72">
        <v>12</v>
      </c>
      <c r="E72" s="3">
        <v>0.52</v>
      </c>
      <c r="F72" s="65">
        <f>F70*POWER(10,C72*E72/D72)</f>
        <v>170.0360770662262</v>
      </c>
      <c r="I72" s="25" t="s">
        <v>81</v>
      </c>
      <c r="J72" s="26" t="s">
        <v>100</v>
      </c>
      <c r="K72" s="129">
        <f>(POWER(G$4,C$256)*H$4)</f>
        <v>14789.201509055989</v>
      </c>
      <c r="L72" s="26" t="str">
        <f>IF(K26&gt;F262/3,"&gt;84%",IF(K26&gt;F261/3,"&gt;70%&lt;84%",IF(K26&gt;F260/3,"&gt;60%&lt;70%",IF(K26&gt;F259/3,"&gt;50%&lt;60%",IF(K26&gt;F258/3,"&gt;40%&lt;50%",IF(K26&gt;F257/3,"&gt;30%&lt;40%",IF(K26&gt;F256/3,"&gt;16%&lt;30%","&lt;16%")))))))</f>
        <v>&gt;84%</v>
      </c>
      <c r="M72" s="26" t="str">
        <f>IF(K26&gt;F269/3,"&gt;84%",IF(K26&gt;F268/3,"&gt;70%&lt;84%",IF(K26&gt;F267/3,"&gt;60%&lt;70%",IF(K26&gt;F266/3,"&gt;50%&lt;60%",IF(K26&gt;F265/3,"&gt;40%&lt;50%",IF(K26&gt;F264/3,"&gt;30%&lt;40%",IF(K26&gt;F263/3,"&gt;16%&lt;30%","&lt;16%")))))))</f>
        <v>&gt;84%</v>
      </c>
      <c r="N72" s="26" t="str">
        <f>IF(K26&gt;F276/3,"&gt;84%",IF(K26&gt;F275/3,"&gt;70%&lt;84%",IF(K26&gt;F274/3,"&gt;60%&lt;70%",IF(K26&gt;F273/3,"&gt;50%&lt;60%",IF(K26&gt;F272/3,"&gt;40%&lt;50%",IF(K26&gt;F271/3,"&gt;30%&lt;40%",IF(K26&gt;F270/3,"&gt;16%&lt;30%","&lt;16%")))))))</f>
        <v>&gt;84%</v>
      </c>
      <c r="O72" s="130">
        <f>IF(L72="&lt;16%",F256/3,IF(L72="&gt;16%&lt;30%",F257/3,IF(L72="&gt;30%&lt;40%",F258/3,IF(L72="&gt;40%&lt;50%",F259/3,IF(L72="&gt;50%&lt;60%",F260/3,IF(L72="&gt;60%&lt;70%",F261/3,IF(L72="&gt;70%&lt;84%",F262/3,F262/3)))))))</f>
        <v>7.3389963381103485</v>
      </c>
      <c r="P72" s="130">
        <f>IF(M72="&lt;16%",F263/3,IF(M72="&gt;16%&lt;30%",F264/3,IF(M72="&gt;30%&lt;40%",F265/3,IF(M72="&gt;40%&lt;50%",F266/3,IF(M72="&gt;50%&lt;60%",F267/3,IF(M72="&gt;60%&lt;70%",F268/3,IF(M72="&gt;70%&lt;84%",F269/3,F269/3)))))))</f>
        <v>4.8926642254068993</v>
      </c>
      <c r="Q72" s="131">
        <f>IF(N72="&lt;16%",F270/3,IF(N72="&gt;16%&lt;30%",F271/3,IF(N72="&gt;30%&lt;40%",F272/3,IF(N72="&gt;40%&lt;50%",F273/3,IF(N72="&gt;50%&lt;60%",F274/3,IF(N72="&gt;60%&lt;70%",F275/3,IF(N72="&gt;70%&lt;84%",F276/3,F276/3)))))))</f>
        <v>5.9275980334630773E-2</v>
      </c>
      <c r="V72" s="119" t="s">
        <v>9</v>
      </c>
      <c r="W72" s="119" t="s">
        <v>28</v>
      </c>
      <c r="X72" s="119"/>
      <c r="Y72" s="119"/>
      <c r="Z72" s="119"/>
      <c r="AA72" s="119"/>
      <c r="AB72" s="119"/>
    </row>
    <row r="73" spans="1:33" x14ac:dyDescent="0.2">
      <c r="A73" s="6" t="s">
        <v>78</v>
      </c>
      <c r="B73" t="s">
        <v>63</v>
      </c>
      <c r="C73">
        <v>1.5</v>
      </c>
      <c r="D73">
        <v>12</v>
      </c>
      <c r="E73">
        <v>1</v>
      </c>
      <c r="F73" s="65">
        <f>F70*POWER(10,C73*E73/D73)</f>
        <v>195.22753766871062</v>
      </c>
      <c r="I73" s="25"/>
      <c r="J73" s="26"/>
      <c r="K73" s="129"/>
      <c r="L73" s="26"/>
      <c r="M73" s="26"/>
      <c r="N73" s="26"/>
      <c r="O73" s="130"/>
      <c r="P73" s="130"/>
      <c r="Q73" s="131"/>
      <c r="V73" s="119" t="s">
        <v>11</v>
      </c>
      <c r="W73" s="119" t="s">
        <v>29</v>
      </c>
      <c r="X73" s="119"/>
      <c r="Y73" s="119"/>
      <c r="Z73" s="119"/>
      <c r="AA73" s="119"/>
      <c r="AB73" s="119"/>
    </row>
    <row r="74" spans="1:33" x14ac:dyDescent="0.2">
      <c r="A74" s="6" t="s">
        <v>78</v>
      </c>
      <c r="B74" t="s">
        <v>70</v>
      </c>
      <c r="C74">
        <v>1.5</v>
      </c>
      <c r="D74">
        <v>12</v>
      </c>
      <c r="E74">
        <v>-1</v>
      </c>
      <c r="F74" s="65">
        <f>F77*POWER(10,C74*E74/D74)</f>
        <v>66.283149162895782</v>
      </c>
      <c r="I74" s="25"/>
      <c r="J74" s="26"/>
      <c r="K74" s="129"/>
      <c r="L74" s="26"/>
      <c r="M74" s="26"/>
      <c r="N74" s="26"/>
      <c r="O74" s="130"/>
      <c r="P74" s="130"/>
      <c r="Q74" s="131"/>
      <c r="V74" s="119"/>
      <c r="W74" s="119"/>
      <c r="X74" s="119"/>
      <c r="Y74" s="119"/>
      <c r="Z74" s="119"/>
      <c r="AA74" s="119"/>
      <c r="AB74" s="119"/>
    </row>
    <row r="75" spans="1:33" ht="13.5" thickBot="1" x14ac:dyDescent="0.25">
      <c r="A75" s="6" t="s">
        <v>78</v>
      </c>
      <c r="B75" t="s">
        <v>64</v>
      </c>
      <c r="C75">
        <v>1.5</v>
      </c>
      <c r="D75">
        <v>12</v>
      </c>
      <c r="E75" s="3">
        <v>-0.52</v>
      </c>
      <c r="F75" s="65">
        <f>F77*POWER(10,C75*E75/D75)</f>
        <v>76.103237755596851</v>
      </c>
      <c r="I75" s="132" t="s">
        <v>183</v>
      </c>
      <c r="J75" s="133" t="s">
        <v>146</v>
      </c>
      <c r="K75" s="134">
        <f>(POWER(G$4,C$319)*H$4)</f>
        <v>116094.45277697644</v>
      </c>
      <c r="L75" s="133" t="str">
        <f>IF(K30&gt;F325/3,"&gt;84%",IF(K30&gt;F324/3,"&gt;70%&lt;84%",IF(K30&gt;F323/3,"&gt;60%&lt;70%",IF(K30&gt;F322/3,"&gt;50%&lt;60%",IF(K30&gt;F321/3,"&gt;40%&lt;50%",IF(K30&gt;F320/3,"&gt;30%&lt;40%",IF(K30&gt;F319/3,"&gt;16%&lt;30%","&lt;16%")))))))</f>
        <v>&gt;84%</v>
      </c>
      <c r="M75" s="133"/>
      <c r="N75" s="133"/>
      <c r="O75" s="135">
        <f>IF(L75="&lt;16%",F319/3,IF(L75="&gt;16%&lt;30%",F320/3,IF(L75="&gt;30%&lt;40%",F321/3,IF(L75="&gt;40%&lt;50%",F322/3,IF(L75="&gt;50%&lt;60%",F323/3,IF(L75="&gt;60%&lt;70%",F324/3,IF(L75="&gt;70%&lt;84%",F325/3,F325/3)))))))</f>
        <v>13254.10920282344</v>
      </c>
      <c r="P75" s="135"/>
      <c r="Q75" s="136"/>
      <c r="V75" s="119" t="s">
        <v>88</v>
      </c>
      <c r="W75" s="119"/>
      <c r="X75" s="119"/>
      <c r="Y75" s="119"/>
      <c r="Z75" s="119"/>
      <c r="AA75" s="119"/>
      <c r="AB75" s="119"/>
    </row>
    <row r="76" spans="1:33" x14ac:dyDescent="0.2">
      <c r="A76" s="6" t="s">
        <v>78</v>
      </c>
      <c r="B76" t="s">
        <v>65</v>
      </c>
      <c r="C76">
        <v>1.5</v>
      </c>
      <c r="D76">
        <v>12</v>
      </c>
      <c r="E76" s="3">
        <v>-0.25</v>
      </c>
      <c r="F76" s="65">
        <f>F77*POWER(10,C76*E76/D76)</f>
        <v>82.253262697776094</v>
      </c>
      <c r="K76" s="17"/>
      <c r="V76" s="119"/>
      <c r="W76" s="119"/>
      <c r="X76" s="119"/>
      <c r="Y76" s="119"/>
      <c r="Z76" s="119"/>
      <c r="AA76" s="119"/>
      <c r="AB76" s="119"/>
    </row>
    <row r="77" spans="1:33" ht="13.5" thickBot="1" x14ac:dyDescent="0.25">
      <c r="A77" s="6" t="s">
        <v>78</v>
      </c>
      <c r="B77" t="s">
        <v>66</v>
      </c>
      <c r="E77" s="3"/>
      <c r="F77" s="66">
        <v>88.39</v>
      </c>
      <c r="K77" s="17"/>
      <c r="V77" s="119" t="s">
        <v>85</v>
      </c>
      <c r="W77" s="119"/>
      <c r="X77" s="119"/>
      <c r="Y77" s="119"/>
      <c r="Z77" s="119"/>
      <c r="AA77" s="119"/>
      <c r="AB77" s="119"/>
    </row>
    <row r="78" spans="1:33" ht="13.5" thickBot="1" x14ac:dyDescent="0.25">
      <c r="A78" s="6" t="s">
        <v>78</v>
      </c>
      <c r="B78" t="s">
        <v>67</v>
      </c>
      <c r="C78">
        <v>1.5</v>
      </c>
      <c r="D78">
        <v>12</v>
      </c>
      <c r="E78" s="3">
        <v>0.25</v>
      </c>
      <c r="F78" s="65">
        <f>F77*POWER(10,C78*E78/D78)</f>
        <v>94.984585945321243</v>
      </c>
      <c r="I78" s="96" t="s">
        <v>218</v>
      </c>
      <c r="J78" s="97"/>
      <c r="K78" s="98"/>
      <c r="L78" s="97"/>
      <c r="M78" s="99"/>
      <c r="N78" t="s">
        <v>225</v>
      </c>
      <c r="V78" s="119"/>
      <c r="W78" s="119"/>
      <c r="X78" s="119"/>
      <c r="Y78" s="119"/>
      <c r="Z78" s="119"/>
      <c r="AA78" s="119"/>
      <c r="AB78" s="119"/>
    </row>
    <row r="79" spans="1:33" x14ac:dyDescent="0.2">
      <c r="A79" s="6" t="s">
        <v>78</v>
      </c>
      <c r="B79" t="s">
        <v>68</v>
      </c>
      <c r="C79">
        <v>1.5</v>
      </c>
      <c r="D79">
        <v>12</v>
      </c>
      <c r="E79" s="3">
        <v>0.52</v>
      </c>
      <c r="F79" s="65">
        <f>F77*POWER(10,C79*E79/D79)</f>
        <v>102.6604429773479</v>
      </c>
      <c r="I79" s="100" t="s">
        <v>54</v>
      </c>
      <c r="J79" s="114" t="s">
        <v>205</v>
      </c>
      <c r="K79" s="115" t="s">
        <v>206</v>
      </c>
      <c r="L79" s="114" t="s">
        <v>207</v>
      </c>
      <c r="M79" s="103"/>
      <c r="O79"/>
      <c r="V79" s="119"/>
      <c r="W79" s="119"/>
      <c r="X79" s="119"/>
      <c r="Y79" s="119"/>
      <c r="Z79" s="119"/>
      <c r="AA79" s="119"/>
      <c r="AB79" s="119"/>
    </row>
    <row r="80" spans="1:33" x14ac:dyDescent="0.2">
      <c r="A80" s="6" t="s">
        <v>78</v>
      </c>
      <c r="B80" t="s">
        <v>69</v>
      </c>
      <c r="C80">
        <v>1.5</v>
      </c>
      <c r="D80">
        <v>12</v>
      </c>
      <c r="E80">
        <v>1</v>
      </c>
      <c r="F80" s="65">
        <f>F77*POWER(10,C80*E80/D80)</f>
        <v>117.8699593889162</v>
      </c>
      <c r="I80" s="104">
        <v>10</v>
      </c>
      <c r="J80" s="116">
        <v>6.8999999999999999E-3</v>
      </c>
      <c r="K80" s="117">
        <v>8.6999999999999994E-2</v>
      </c>
      <c r="L80" s="116">
        <v>0.76</v>
      </c>
      <c r="M80" s="106"/>
      <c r="O80"/>
      <c r="V80" s="119" t="s">
        <v>80</v>
      </c>
      <c r="W80" s="119"/>
      <c r="X80" s="119"/>
      <c r="Y80" s="119"/>
      <c r="Z80" s="119"/>
      <c r="AA80" s="119"/>
      <c r="AB80" s="119"/>
    </row>
    <row r="81" spans="1:33" x14ac:dyDescent="0.2">
      <c r="A81" s="6" t="s">
        <v>78</v>
      </c>
      <c r="B81" t="s">
        <v>77</v>
      </c>
      <c r="C81">
        <v>1.5</v>
      </c>
      <c r="D81">
        <v>10</v>
      </c>
      <c r="E81">
        <v>-1</v>
      </c>
      <c r="F81" s="65">
        <f>F84*POWER(10,C81*E81/D81)</f>
        <v>0.10760775922638896</v>
      </c>
      <c r="I81" s="104">
        <v>30</v>
      </c>
      <c r="J81" s="116">
        <v>4.0000000000000001E-3</v>
      </c>
      <c r="K81" s="117">
        <v>0.05</v>
      </c>
      <c r="L81" s="116">
        <v>0.38</v>
      </c>
      <c r="M81" s="106"/>
      <c r="O81"/>
      <c r="V81" s="119" t="s">
        <v>2</v>
      </c>
      <c r="W81" s="119" t="s">
        <v>27</v>
      </c>
      <c r="X81" s="119"/>
      <c r="Y81" s="119"/>
      <c r="Z81" s="119"/>
      <c r="AA81" s="119"/>
      <c r="AB81" s="119"/>
    </row>
    <row r="82" spans="1:33" x14ac:dyDescent="0.2">
      <c r="A82" s="6" t="s">
        <v>78</v>
      </c>
      <c r="B82" t="s">
        <v>71</v>
      </c>
      <c r="C82">
        <v>1.5</v>
      </c>
      <c r="D82">
        <v>10</v>
      </c>
      <c r="E82" s="3">
        <v>-0.52</v>
      </c>
      <c r="F82" s="65">
        <f>F84*POWER(10,C82*E82/D82)</f>
        <v>0.1270116587711497</v>
      </c>
      <c r="I82" s="104">
        <v>60</v>
      </c>
      <c r="J82" s="116">
        <v>2.8E-3</v>
      </c>
      <c r="K82" s="116">
        <v>3.5000000000000003E-2</v>
      </c>
      <c r="L82" s="116">
        <v>0.26</v>
      </c>
      <c r="M82" s="106"/>
      <c r="V82" s="119" t="s">
        <v>9</v>
      </c>
      <c r="W82" s="119" t="s">
        <v>28</v>
      </c>
      <c r="X82" s="119"/>
      <c r="Y82" s="119"/>
      <c r="Z82" s="119"/>
      <c r="AA82" s="119"/>
      <c r="AB82" s="119"/>
    </row>
    <row r="83" spans="1:33" x14ac:dyDescent="0.2">
      <c r="A83" s="6" t="s">
        <v>78</v>
      </c>
      <c r="B83" t="s">
        <v>72</v>
      </c>
      <c r="C83">
        <v>1.5</v>
      </c>
      <c r="D83">
        <v>10</v>
      </c>
      <c r="E83" s="3">
        <v>-0.25</v>
      </c>
      <c r="F83" s="65">
        <f>F84*POWER(10,C83*E83/D83)</f>
        <v>0.1394259421792465</v>
      </c>
      <c r="I83" s="104">
        <v>240</v>
      </c>
      <c r="J83" s="116">
        <v>1.4E-3</v>
      </c>
      <c r="K83" s="117">
        <v>1.7000000000000001E-2</v>
      </c>
      <c r="L83" s="116">
        <v>0.14000000000000001</v>
      </c>
      <c r="M83" s="106"/>
      <c r="V83" s="119" t="s">
        <v>11</v>
      </c>
      <c r="W83" s="119" t="s">
        <v>29</v>
      </c>
      <c r="X83" s="119"/>
      <c r="Y83" s="119"/>
      <c r="Z83" s="119"/>
      <c r="AA83" s="119"/>
      <c r="AB83" s="119"/>
    </row>
    <row r="84" spans="1:33" x14ac:dyDescent="0.2">
      <c r="A84" s="6" t="s">
        <v>78</v>
      </c>
      <c r="B84" t="s">
        <v>73</v>
      </c>
      <c r="E84" s="3"/>
      <c r="F84" s="66">
        <v>0.152</v>
      </c>
      <c r="I84" s="104">
        <v>480</v>
      </c>
      <c r="J84" s="116">
        <v>1E-3</v>
      </c>
      <c r="K84" s="117">
        <v>1.2999999999999999E-2</v>
      </c>
      <c r="L84" s="116">
        <v>0.1</v>
      </c>
      <c r="M84" s="106"/>
      <c r="V84" s="119"/>
      <c r="W84" s="119"/>
      <c r="X84" s="119"/>
      <c r="Y84" s="119"/>
      <c r="Z84" s="119"/>
      <c r="AA84" s="119"/>
      <c r="AB84" s="119"/>
    </row>
    <row r="85" spans="1:33" x14ac:dyDescent="0.2">
      <c r="A85" s="6" t="s">
        <v>78</v>
      </c>
      <c r="B85" t="s">
        <v>74</v>
      </c>
      <c r="C85">
        <v>1.5</v>
      </c>
      <c r="D85">
        <v>10</v>
      </c>
      <c r="E85" s="3">
        <v>0.25</v>
      </c>
      <c r="F85" s="65">
        <f>F84*POWER(10,C85*E85/D85)</f>
        <v>0.1657080428425394</v>
      </c>
      <c r="I85" s="104"/>
      <c r="J85" s="105"/>
      <c r="K85" s="105"/>
      <c r="L85" s="105"/>
      <c r="M85" s="106"/>
      <c r="V85" s="119" t="s">
        <v>88</v>
      </c>
      <c r="W85" s="119"/>
      <c r="X85" s="119"/>
      <c r="Y85" s="119"/>
      <c r="Z85" s="119"/>
      <c r="AA85" s="119"/>
      <c r="AB85" s="119"/>
    </row>
    <row r="86" spans="1:33" x14ac:dyDescent="0.2">
      <c r="A86" s="6" t="s">
        <v>78</v>
      </c>
      <c r="B86" t="s">
        <v>75</v>
      </c>
      <c r="C86">
        <v>1.5</v>
      </c>
      <c r="D86">
        <v>10</v>
      </c>
      <c r="E86" s="3">
        <v>0.52</v>
      </c>
      <c r="F86" s="65">
        <f>F84*POWER(10,C86*E86/D86)</f>
        <v>0.18190456075870101</v>
      </c>
      <c r="I86" s="104">
        <v>10</v>
      </c>
      <c r="J86" s="107" t="str">
        <f>IF(G4&gt;L80,"EXCEEDS AEGL3",IF(G4&gt;K80,"EXCEEDS AEGL2",IF(G4&gt;J80,"EXCEEDS AEGL1","BELOW AEGL1")))</f>
        <v>EXCEEDS AEGL3</v>
      </c>
      <c r="K86" s="105"/>
      <c r="L86" s="105" t="str">
        <f>IF(H4&lt;=I86,J86,IF(H4&lt;=I87,J87,IF(H4&lt;=I88,J88,IF(H4&lt;=I89,J89,IF(H4&lt;=I90,J90,"Exposure Duration Exceeds 8-hours")))))</f>
        <v>EXCEEDS AEGL3</v>
      </c>
      <c r="M86" s="106"/>
      <c r="V86" s="119"/>
      <c r="W86" s="119"/>
      <c r="X86" s="119"/>
      <c r="Y86" s="119"/>
      <c r="Z86" s="119"/>
      <c r="AA86" s="119"/>
      <c r="AB86" s="119"/>
    </row>
    <row r="87" spans="1:33" x14ac:dyDescent="0.2">
      <c r="A87" s="6" t="s">
        <v>78</v>
      </c>
      <c r="B87" t="s">
        <v>76</v>
      </c>
      <c r="C87">
        <v>1.5</v>
      </c>
      <c r="D87">
        <v>10</v>
      </c>
      <c r="E87">
        <v>1</v>
      </c>
      <c r="F87" s="65">
        <f>F84*POWER(10,C87*E87/D87)</f>
        <v>0.21470570678265866</v>
      </c>
      <c r="I87" s="104">
        <v>30</v>
      </c>
      <c r="J87" s="107" t="str">
        <f>IF(G4&gt;L81,"EXCEEDS AEGL3",IF(G4&gt;K81,"EXCEEDS AEGL2",IF(G4&gt;J81,"EXCEEDS AEGL1","BELOW AEGL1")))</f>
        <v>EXCEEDS AEGL3</v>
      </c>
      <c r="K87" s="105"/>
      <c r="L87" s="105"/>
      <c r="M87" s="106"/>
      <c r="V87" s="119" t="s">
        <v>85</v>
      </c>
      <c r="W87" s="119"/>
      <c r="X87" s="119"/>
      <c r="Y87" s="119"/>
      <c r="Z87" s="119"/>
      <c r="AA87" s="119"/>
      <c r="AB87" s="119"/>
    </row>
    <row r="88" spans="1:33" x14ac:dyDescent="0.2">
      <c r="A88" s="83" t="s">
        <v>197</v>
      </c>
      <c r="B88" t="s">
        <v>57</v>
      </c>
      <c r="C88">
        <v>1</v>
      </c>
      <c r="D88">
        <v>5</v>
      </c>
      <c r="E88">
        <v>-1</v>
      </c>
      <c r="F88" s="65">
        <f>F$91*POWER(10,C88*E88/D88)</f>
        <v>7571.4881337623192</v>
      </c>
      <c r="I88" s="104">
        <v>60</v>
      </c>
      <c r="J88" s="107" t="str">
        <f>IF(G4&gt;L82,"EXCEEDS AEGL3",IF(G4&gt;K82,"EXCEEDS AEGL2",IF(G4&gt;J82,"EXCEEDS AEGL1","BELOW AEGL1")))</f>
        <v>EXCEEDS AEGL3</v>
      </c>
      <c r="K88" s="105"/>
      <c r="L88" s="105"/>
      <c r="M88" s="106"/>
      <c r="V88" s="119"/>
      <c r="W88" s="119"/>
      <c r="X88" s="119"/>
      <c r="Y88" s="119"/>
      <c r="Z88" s="119"/>
      <c r="AA88" s="119"/>
      <c r="AB88" s="119"/>
    </row>
    <row r="89" spans="1:33" x14ac:dyDescent="0.2">
      <c r="A89" s="83" t="s">
        <v>197</v>
      </c>
      <c r="B89" t="s">
        <v>58</v>
      </c>
      <c r="C89">
        <v>1</v>
      </c>
      <c r="D89">
        <v>5</v>
      </c>
      <c r="E89" s="3">
        <v>-0.52</v>
      </c>
      <c r="F89" s="65">
        <f>F$91*POWER(10,C89*E89/D89)</f>
        <v>9444.5494763411825</v>
      </c>
      <c r="I89" s="104">
        <v>240</v>
      </c>
      <c r="J89" s="107" t="str">
        <f>IF(G4&gt;L83,"EXCEEDS AEGL3",IF(G4&gt;K83,"EXCEEDS AEGL2",IF(G4&gt;J83,"EXCEEDS AEGL1","BELOW AEGL1")))</f>
        <v>EXCEEDS AEGL3</v>
      </c>
      <c r="K89" s="105"/>
      <c r="L89" s="105"/>
      <c r="M89" s="106"/>
      <c r="V89" s="119"/>
      <c r="W89" s="119"/>
      <c r="X89" s="119"/>
      <c r="Y89" s="119"/>
      <c r="Z89" s="119"/>
      <c r="AA89" s="119"/>
      <c r="AB89" s="119"/>
    </row>
    <row r="90" spans="1:33" ht="18" x14ac:dyDescent="0.25">
      <c r="A90" s="83" t="s">
        <v>197</v>
      </c>
      <c r="B90" t="s">
        <v>59</v>
      </c>
      <c r="C90">
        <v>1</v>
      </c>
      <c r="D90">
        <v>5</v>
      </c>
      <c r="E90" s="3">
        <v>-0.25</v>
      </c>
      <c r="F90" s="65">
        <f>F$91*POWER(10,C90*E90/D90)</f>
        <v>10695.011257604945</v>
      </c>
      <c r="I90" s="104">
        <v>480</v>
      </c>
      <c r="J90" s="107" t="str">
        <f>IF(G4&gt;L84,"EXCEEDS AEGL3",IF(G4&gt;K84,"EXCEEDS AEGL2",IF(G4&gt;J84,"EXCEEDS AEGL1","BELOW AEGL1")))</f>
        <v>EXCEEDS AEGL3</v>
      </c>
      <c r="K90" s="105"/>
      <c r="L90" s="105"/>
      <c r="M90" s="106"/>
      <c r="V90" s="119"/>
      <c r="W90" s="119"/>
      <c r="X90" s="119"/>
      <c r="Y90" s="119"/>
      <c r="Z90" s="119"/>
      <c r="AA90" s="119"/>
      <c r="AB90" s="119"/>
      <c r="AG90" s="1"/>
    </row>
    <row r="91" spans="1:33" ht="13.5" thickBot="1" x14ac:dyDescent="0.25">
      <c r="A91" s="83" t="s">
        <v>197</v>
      </c>
      <c r="B91" t="s">
        <v>60</v>
      </c>
      <c r="C91">
        <v>1</v>
      </c>
      <c r="D91">
        <v>5</v>
      </c>
      <c r="E91" s="3"/>
      <c r="F91" s="66">
        <v>12000</v>
      </c>
      <c r="I91" s="111"/>
      <c r="J91" s="112"/>
      <c r="K91" s="112"/>
      <c r="L91" s="112"/>
      <c r="M91" s="113"/>
      <c r="V91" s="119"/>
      <c r="W91" s="119"/>
      <c r="Y91" s="119"/>
      <c r="Z91" s="119"/>
      <c r="AA91" s="119"/>
      <c r="AB91" s="119"/>
    </row>
    <row r="92" spans="1:33" x14ac:dyDescent="0.2">
      <c r="A92" s="83" t="s">
        <v>197</v>
      </c>
      <c r="B92" t="s">
        <v>61</v>
      </c>
      <c r="C92">
        <v>1</v>
      </c>
      <c r="D92">
        <v>5</v>
      </c>
      <c r="E92" s="3">
        <v>0.25</v>
      </c>
      <c r="F92" s="65">
        <f>F$91*POWER(10,C92*E92/D92)</f>
        <v>13464.221451623564</v>
      </c>
      <c r="I92" s="100" t="s">
        <v>78</v>
      </c>
      <c r="J92" s="101" t="s">
        <v>205</v>
      </c>
      <c r="K92" s="102" t="s">
        <v>206</v>
      </c>
      <c r="L92" s="101" t="s">
        <v>207</v>
      </c>
      <c r="M92" s="103"/>
      <c r="N92" s="5" t="s">
        <v>224</v>
      </c>
      <c r="V92" s="119"/>
      <c r="W92" s="119"/>
      <c r="Y92" s="119"/>
      <c r="Z92" s="119"/>
      <c r="AA92" s="119"/>
      <c r="AB92" s="119"/>
    </row>
    <row r="93" spans="1:33" x14ac:dyDescent="0.2">
      <c r="A93" s="83" t="s">
        <v>197</v>
      </c>
      <c r="B93" t="s">
        <v>62</v>
      </c>
      <c r="C93">
        <v>1</v>
      </c>
      <c r="D93">
        <v>5</v>
      </c>
      <c r="E93" s="3">
        <v>0.52</v>
      </c>
      <c r="F93" s="65">
        <f>F$91*POWER(10,C93*E93/D93)</f>
        <v>15246.889262502502</v>
      </c>
      <c r="I93" s="104">
        <v>10</v>
      </c>
      <c r="J93" s="116">
        <v>6.8999999999999999E-3</v>
      </c>
      <c r="K93" s="117">
        <v>8.6999999999999994E-2</v>
      </c>
      <c r="L93" s="116">
        <v>0.38</v>
      </c>
      <c r="M93" s="106"/>
      <c r="V93" s="120" t="s">
        <v>81</v>
      </c>
      <c r="Y93" s="119"/>
      <c r="Z93" s="119"/>
      <c r="AA93" s="119"/>
      <c r="AB93" s="119"/>
    </row>
    <row r="94" spans="1:33" x14ac:dyDescent="0.2">
      <c r="A94" s="83" t="s">
        <v>197</v>
      </c>
      <c r="B94" t="s">
        <v>63</v>
      </c>
      <c r="C94">
        <v>1</v>
      </c>
      <c r="D94">
        <v>5</v>
      </c>
      <c r="E94">
        <v>1</v>
      </c>
      <c r="F94" s="65">
        <f>F$91*POWER(10,C94*E94/D94)</f>
        <v>19018.718309533364</v>
      </c>
      <c r="I94" s="104">
        <v>30</v>
      </c>
      <c r="J94" s="116">
        <v>4.0000000000000001E-3</v>
      </c>
      <c r="K94" s="117">
        <v>0.05</v>
      </c>
      <c r="L94" s="116">
        <v>0.19</v>
      </c>
      <c r="M94" s="106"/>
      <c r="V94" s="121" t="s">
        <v>2</v>
      </c>
      <c r="W94" s="121" t="s">
        <v>36</v>
      </c>
      <c r="Y94" s="119"/>
      <c r="Z94" s="119"/>
      <c r="AA94" s="119"/>
      <c r="AB94" s="119"/>
    </row>
    <row r="95" spans="1:33" x14ac:dyDescent="0.2">
      <c r="A95" s="83" t="s">
        <v>197</v>
      </c>
      <c r="B95" t="s">
        <v>70</v>
      </c>
      <c r="C95">
        <v>1</v>
      </c>
      <c r="D95">
        <v>5</v>
      </c>
      <c r="E95">
        <v>-1</v>
      </c>
      <c r="F95" s="65">
        <f>F$98*POWER(10,C95*E95/D95)</f>
        <v>5047.6587558415458</v>
      </c>
      <c r="I95" s="104">
        <v>60</v>
      </c>
      <c r="J95" s="116">
        <v>2.8E-3</v>
      </c>
      <c r="K95" s="116">
        <v>3.5000000000000003E-2</v>
      </c>
      <c r="L95" s="116">
        <v>0.13</v>
      </c>
      <c r="M95" s="106"/>
      <c r="V95" s="121" t="s">
        <v>9</v>
      </c>
      <c r="W95" s="121" t="s">
        <v>37</v>
      </c>
      <c r="Y95" s="119"/>
      <c r="Z95" s="119"/>
      <c r="AA95" s="119"/>
      <c r="AB95" s="119"/>
    </row>
    <row r="96" spans="1:33" x14ac:dyDescent="0.2">
      <c r="A96" s="83" t="s">
        <v>197</v>
      </c>
      <c r="B96" t="s">
        <v>64</v>
      </c>
      <c r="C96">
        <v>1</v>
      </c>
      <c r="D96">
        <v>5</v>
      </c>
      <c r="E96" s="3">
        <v>-0.52</v>
      </c>
      <c r="F96" s="65">
        <f>F$98*POWER(10,C96*E96/D96)</f>
        <v>6296.366317560788</v>
      </c>
      <c r="I96" s="104">
        <v>240</v>
      </c>
      <c r="J96" s="116">
        <v>1.4E-3</v>
      </c>
      <c r="K96" s="117">
        <v>1.7000000000000001E-2</v>
      </c>
      <c r="L96" s="116">
        <v>7.0000000000000007E-2</v>
      </c>
      <c r="M96" s="106"/>
      <c r="V96" s="121" t="s">
        <v>11</v>
      </c>
      <c r="W96" s="121" t="s">
        <v>38</v>
      </c>
      <c r="Y96" s="119"/>
      <c r="Z96" s="119"/>
      <c r="AA96" s="119"/>
      <c r="AB96" s="119"/>
    </row>
    <row r="97" spans="1:33" x14ac:dyDescent="0.2">
      <c r="A97" s="83" t="s">
        <v>197</v>
      </c>
      <c r="B97" t="s">
        <v>65</v>
      </c>
      <c r="C97">
        <v>1</v>
      </c>
      <c r="D97">
        <v>5</v>
      </c>
      <c r="E97" s="3">
        <v>-0.25</v>
      </c>
      <c r="F97" s="65">
        <f>F$98*POWER(10,C97*E97/D97)</f>
        <v>7130.0075050699634</v>
      </c>
      <c r="I97" s="104">
        <v>480</v>
      </c>
      <c r="J97" s="116">
        <v>1E-3</v>
      </c>
      <c r="K97" s="117">
        <v>1.2999999999999999E-2</v>
      </c>
      <c r="L97" s="116">
        <v>5.0999999999999997E-2</v>
      </c>
      <c r="M97" s="106"/>
      <c r="Y97" s="119"/>
      <c r="Z97" s="119"/>
      <c r="AA97" s="119"/>
      <c r="AB97" s="119"/>
    </row>
    <row r="98" spans="1:33" x14ac:dyDescent="0.2">
      <c r="A98" s="83" t="s">
        <v>197</v>
      </c>
      <c r="B98" t="s">
        <v>66</v>
      </c>
      <c r="C98">
        <v>1</v>
      </c>
      <c r="D98">
        <v>5</v>
      </c>
      <c r="E98" s="3"/>
      <c r="F98" s="66">
        <v>8000</v>
      </c>
      <c r="I98" s="104"/>
      <c r="J98" s="105"/>
      <c r="K98" s="105"/>
      <c r="L98" s="105"/>
      <c r="M98" s="106"/>
      <c r="V98" s="121" t="s">
        <v>87</v>
      </c>
      <c r="Y98" s="119"/>
      <c r="Z98" s="119"/>
      <c r="AA98" s="119"/>
      <c r="AB98" s="119"/>
    </row>
    <row r="99" spans="1:33" x14ac:dyDescent="0.2">
      <c r="A99" s="83" t="s">
        <v>197</v>
      </c>
      <c r="B99" t="s">
        <v>67</v>
      </c>
      <c r="C99">
        <v>1</v>
      </c>
      <c r="D99">
        <v>5</v>
      </c>
      <c r="E99" s="3">
        <v>0.25</v>
      </c>
      <c r="F99" s="65">
        <f>F$98*POWER(10,C99*E99/D99)</f>
        <v>8976.147634415709</v>
      </c>
      <c r="I99" s="104">
        <v>10</v>
      </c>
      <c r="J99" s="107" t="str">
        <f>IF(G4&gt;L93,"EXCEEDS AEGL3",IF(G4&gt;K93,"EXCEEDS AEGL2",IF(G4&gt;J93,"EXCEEDS AEGL1","BELOW AEGL1")))</f>
        <v>EXCEEDS AEGL3</v>
      </c>
      <c r="K99" s="105"/>
      <c r="L99" s="105" t="str">
        <f>IF(H4&lt;=I99,J99,IF(H4&lt;=I100,J100,IF(H4&lt;=I101,J101,IF(H4&lt;=I102,J102,IF(H4&lt;=I103,J103,"Exposure Duration Exceeds 8-hours")))))</f>
        <v>EXCEEDS AEGL3</v>
      </c>
      <c r="M99" s="106"/>
      <c r="Y99" s="119"/>
      <c r="Z99" s="119"/>
      <c r="AA99" s="119"/>
      <c r="AB99" s="119"/>
    </row>
    <row r="100" spans="1:33" x14ac:dyDescent="0.2">
      <c r="A100" s="83" t="s">
        <v>197</v>
      </c>
      <c r="B100" t="s">
        <v>68</v>
      </c>
      <c r="C100">
        <v>1</v>
      </c>
      <c r="D100">
        <v>5</v>
      </c>
      <c r="E100" s="3">
        <v>0.52</v>
      </c>
      <c r="F100" s="65">
        <f>F$98*POWER(10,C100*E100/D100)</f>
        <v>10164.592841668335</v>
      </c>
      <c r="I100" s="104">
        <v>30</v>
      </c>
      <c r="J100" s="107" t="str">
        <f>IF(G4&gt;L94,"EXCEEDS AEGL3",IF(G4&gt;K94,"EXCEEDS AEGL2",IF(G4&gt;J94,"EXCEEDS AEGL1","BELOW AEGL1")))</f>
        <v>EXCEEDS AEGL3</v>
      </c>
      <c r="K100" s="105"/>
      <c r="L100" s="105"/>
      <c r="M100" s="106"/>
      <c r="Y100" s="119"/>
      <c r="Z100" s="119"/>
      <c r="AA100" s="119"/>
      <c r="AB100" s="119"/>
    </row>
    <row r="101" spans="1:33" x14ac:dyDescent="0.2">
      <c r="A101" s="83" t="s">
        <v>197</v>
      </c>
      <c r="B101" t="s">
        <v>69</v>
      </c>
      <c r="C101">
        <v>1</v>
      </c>
      <c r="D101">
        <v>5</v>
      </c>
      <c r="E101">
        <v>1</v>
      </c>
      <c r="F101" s="65">
        <f>F$98*POWER(10,C101*E101/D101)</f>
        <v>12679.145539688909</v>
      </c>
      <c r="I101" s="104">
        <v>60</v>
      </c>
      <c r="J101" s="107" t="str">
        <f>IF(G4&gt;L95,"EXCEEDS AEGL3",IF(G4&gt;K95,"EXCEEDS AEGL2",IF(G4&gt;J95,"EXCEEDS AEGL1","BELOW AEGL1")))</f>
        <v>EXCEEDS AEGL3</v>
      </c>
      <c r="K101" s="105"/>
      <c r="L101" s="105"/>
      <c r="M101" s="106"/>
      <c r="Y101" s="119"/>
      <c r="Z101" s="119"/>
      <c r="AA101" s="119"/>
      <c r="AB101" s="119"/>
    </row>
    <row r="102" spans="1:33" x14ac:dyDescent="0.2">
      <c r="A102" s="83" t="s">
        <v>197</v>
      </c>
      <c r="B102" t="s">
        <v>176</v>
      </c>
      <c r="C102">
        <v>1</v>
      </c>
      <c r="D102">
        <v>5</v>
      </c>
      <c r="E102">
        <v>-1</v>
      </c>
      <c r="F102" s="65">
        <f>F$105*POWER(10,C102*E102/D102)</f>
        <v>757.14881337623194</v>
      </c>
      <c r="I102" s="104">
        <v>240</v>
      </c>
      <c r="J102" s="107" t="str">
        <f>IF(G4&gt;L96,"EXCEEDS AEGL3",IF(G4&gt;K96,"EXCEEDS AEGL2",IF(G4&gt;J96,"EXCEEDS AEGL1","BELOW AEGL1")))</f>
        <v>EXCEEDS AEGL3</v>
      </c>
      <c r="K102" s="105"/>
      <c r="L102" s="105"/>
      <c r="M102" s="106"/>
      <c r="V102" s="121" t="s">
        <v>82</v>
      </c>
      <c r="Y102" s="119"/>
      <c r="Z102" s="119"/>
      <c r="AA102" s="119"/>
      <c r="AB102" s="119"/>
    </row>
    <row r="103" spans="1:33" x14ac:dyDescent="0.2">
      <c r="A103" s="83" t="s">
        <v>197</v>
      </c>
      <c r="B103" t="s">
        <v>177</v>
      </c>
      <c r="C103">
        <v>1</v>
      </c>
      <c r="D103">
        <v>5</v>
      </c>
      <c r="E103" s="3">
        <v>-0.52</v>
      </c>
      <c r="F103" s="65">
        <f>F$105*POWER(10,C103*E103/D103)</f>
        <v>944.45494763411818</v>
      </c>
      <c r="I103" s="104">
        <v>480</v>
      </c>
      <c r="J103" s="107" t="str">
        <f>IF(G4&gt;L97,"EXCEEDS AEGL3",IF(G4&gt;K97,"EXCEEDS AEGL2",IF(G4&gt;J97,"EXCEEDS AEGL1","BELOW AEGL1")))</f>
        <v>EXCEEDS AEGL3</v>
      </c>
      <c r="K103" s="105"/>
      <c r="L103" s="105"/>
      <c r="M103" s="106"/>
      <c r="V103" s="121" t="s">
        <v>40</v>
      </c>
      <c r="W103" s="121" t="s">
        <v>41</v>
      </c>
      <c r="Y103" s="119"/>
      <c r="Z103" s="119"/>
      <c r="AA103" s="119"/>
      <c r="AB103" s="119"/>
    </row>
    <row r="104" spans="1:33" ht="13.5" thickBot="1" x14ac:dyDescent="0.25">
      <c r="A104" s="83" t="s">
        <v>197</v>
      </c>
      <c r="B104" t="s">
        <v>178</v>
      </c>
      <c r="C104">
        <v>1</v>
      </c>
      <c r="D104">
        <v>5</v>
      </c>
      <c r="E104" s="3">
        <v>-0.25</v>
      </c>
      <c r="F104" s="65">
        <f>F$105*POWER(10,C104*E104/D104)</f>
        <v>1069.5011257604945</v>
      </c>
      <c r="I104" s="111"/>
      <c r="J104" s="112"/>
      <c r="K104" s="112"/>
      <c r="L104" s="112"/>
      <c r="M104" s="113"/>
      <c r="V104" s="121" t="s">
        <v>42</v>
      </c>
      <c r="W104" s="121" t="s">
        <v>43</v>
      </c>
      <c r="Y104" s="119"/>
      <c r="Z104" s="119"/>
      <c r="AA104" s="119"/>
      <c r="AB104" s="119"/>
    </row>
    <row r="105" spans="1:33" x14ac:dyDescent="0.2">
      <c r="A105" s="83" t="s">
        <v>197</v>
      </c>
      <c r="B105" t="s">
        <v>179</v>
      </c>
      <c r="C105">
        <v>1</v>
      </c>
      <c r="D105">
        <v>5</v>
      </c>
      <c r="E105" s="3"/>
      <c r="F105" s="66">
        <v>1200</v>
      </c>
      <c r="I105" s="100" t="s">
        <v>199</v>
      </c>
      <c r="J105" s="114" t="s">
        <v>205</v>
      </c>
      <c r="K105" s="115" t="s">
        <v>206</v>
      </c>
      <c r="L105" s="114" t="s">
        <v>207</v>
      </c>
      <c r="M105" s="103"/>
      <c r="V105" s="121" t="s">
        <v>44</v>
      </c>
      <c r="W105" s="121" t="s">
        <v>45</v>
      </c>
      <c r="Y105" s="119"/>
      <c r="Z105" s="119"/>
      <c r="AA105" s="119"/>
      <c r="AB105" s="119"/>
    </row>
    <row r="106" spans="1:33" x14ac:dyDescent="0.2">
      <c r="A106" s="83" t="s">
        <v>197</v>
      </c>
      <c r="B106" t="s">
        <v>180</v>
      </c>
      <c r="C106">
        <v>1</v>
      </c>
      <c r="D106">
        <v>5</v>
      </c>
      <c r="E106" s="3">
        <v>0.25</v>
      </c>
      <c r="F106" s="65">
        <f>F$105*POWER(10,C106*E106/D106)</f>
        <v>1346.4221451623562</v>
      </c>
      <c r="I106" s="104">
        <v>10</v>
      </c>
      <c r="J106" s="116">
        <v>3.5000000000000001E-3</v>
      </c>
      <c r="K106" s="117">
        <v>4.3999999999999997E-2</v>
      </c>
      <c r="L106" s="116">
        <v>0.38</v>
      </c>
      <c r="M106" s="106"/>
      <c r="V106" s="121" t="s">
        <v>46</v>
      </c>
      <c r="W106" s="121" t="s">
        <v>47</v>
      </c>
      <c r="Y106" s="119"/>
      <c r="Z106" s="119"/>
      <c r="AA106" s="119"/>
      <c r="AB106" s="119"/>
    </row>
    <row r="107" spans="1:33" x14ac:dyDescent="0.2">
      <c r="A107" s="83" t="s">
        <v>197</v>
      </c>
      <c r="B107" t="s">
        <v>181</v>
      </c>
      <c r="C107">
        <v>1</v>
      </c>
      <c r="D107">
        <v>5</v>
      </c>
      <c r="E107" s="3">
        <v>0.52</v>
      </c>
      <c r="F107" s="65">
        <f>F$105*POWER(10,C107*E107/D107)</f>
        <v>1524.68892625025</v>
      </c>
      <c r="I107" s="104">
        <v>30</v>
      </c>
      <c r="J107" s="116">
        <v>2E-3</v>
      </c>
      <c r="K107" s="117">
        <v>2.5000000000000001E-2</v>
      </c>
      <c r="L107" s="116">
        <v>0.19</v>
      </c>
      <c r="M107" s="106"/>
      <c r="Y107" s="119"/>
      <c r="Z107" s="119"/>
      <c r="AA107" s="119"/>
      <c r="AB107" s="119"/>
    </row>
    <row r="108" spans="1:33" x14ac:dyDescent="0.2">
      <c r="A108" s="83" t="s">
        <v>197</v>
      </c>
      <c r="B108" t="s">
        <v>182</v>
      </c>
      <c r="C108">
        <v>1</v>
      </c>
      <c r="D108">
        <v>5</v>
      </c>
      <c r="E108">
        <v>1</v>
      </c>
      <c r="F108" s="65">
        <f>F$105*POWER(10,C108*E108/D108)</f>
        <v>1901.8718309533363</v>
      </c>
      <c r="I108" s="104">
        <v>60</v>
      </c>
      <c r="J108" s="116">
        <v>1.4E-3</v>
      </c>
      <c r="K108" s="116">
        <v>1.7999999999999999E-2</v>
      </c>
      <c r="L108" s="116">
        <v>0.13</v>
      </c>
      <c r="M108" s="106"/>
      <c r="V108" s="121" t="s">
        <v>141</v>
      </c>
      <c r="Y108" s="119"/>
      <c r="Z108" s="119"/>
      <c r="AA108" s="119"/>
      <c r="AB108" s="119"/>
    </row>
    <row r="109" spans="1:33" x14ac:dyDescent="0.2">
      <c r="A109" s="83" t="s">
        <v>198</v>
      </c>
      <c r="B109" t="s">
        <v>57</v>
      </c>
      <c r="C109">
        <v>1</v>
      </c>
      <c r="D109">
        <v>5</v>
      </c>
      <c r="E109">
        <v>-1</v>
      </c>
      <c r="F109" s="65">
        <f>F$112*POWER(10,C109*E109/D109)</f>
        <v>3785.7440668811596</v>
      </c>
      <c r="I109" s="104">
        <v>240</v>
      </c>
      <c r="J109" s="116">
        <v>6.9999999999999999E-4</v>
      </c>
      <c r="K109" s="117">
        <v>8.5000000000000006E-3</v>
      </c>
      <c r="L109" s="116">
        <v>7.0000000000000007E-2</v>
      </c>
      <c r="M109" s="106"/>
      <c r="Y109" s="119"/>
      <c r="Z109" s="119"/>
      <c r="AA109" s="119"/>
      <c r="AB109" s="119"/>
    </row>
    <row r="110" spans="1:33" x14ac:dyDescent="0.2">
      <c r="A110" s="83" t="s">
        <v>198</v>
      </c>
      <c r="B110" t="s">
        <v>58</v>
      </c>
      <c r="C110">
        <v>1</v>
      </c>
      <c r="D110">
        <v>5</v>
      </c>
      <c r="E110" s="3">
        <v>-0.52</v>
      </c>
      <c r="F110" s="65">
        <f>F$112*POWER(10,C110*E110/D110)</f>
        <v>4722.2747381705913</v>
      </c>
      <c r="I110" s="104">
        <v>480</v>
      </c>
      <c r="J110" s="116">
        <v>5.0000000000000001E-4</v>
      </c>
      <c r="K110" s="117">
        <v>6.4999999999999997E-3</v>
      </c>
      <c r="L110" s="116">
        <v>5.0999999999999997E-2</v>
      </c>
      <c r="M110" s="106"/>
      <c r="Y110" s="119"/>
      <c r="Z110" s="119"/>
      <c r="AA110" s="119"/>
      <c r="AB110" s="119"/>
    </row>
    <row r="111" spans="1:33" ht="18" x14ac:dyDescent="0.25">
      <c r="A111" s="83" t="s">
        <v>198</v>
      </c>
      <c r="B111" t="s">
        <v>59</v>
      </c>
      <c r="C111">
        <v>1</v>
      </c>
      <c r="D111">
        <v>5</v>
      </c>
      <c r="E111" s="3">
        <v>-0.25</v>
      </c>
      <c r="F111" s="65">
        <f>F$112*POWER(10,C111*E111/D111)</f>
        <v>5347.5056288024725</v>
      </c>
      <c r="I111" s="104"/>
      <c r="J111" s="105"/>
      <c r="K111" s="105"/>
      <c r="L111" s="105"/>
      <c r="M111" s="106"/>
      <c r="Y111" s="119"/>
      <c r="Z111" s="119"/>
      <c r="AA111" s="119"/>
      <c r="AB111" s="119"/>
      <c r="AG111" s="1"/>
    </row>
    <row r="112" spans="1:33" x14ac:dyDescent="0.2">
      <c r="A112" s="83" t="s">
        <v>198</v>
      </c>
      <c r="B112" t="s">
        <v>60</v>
      </c>
      <c r="C112">
        <v>1</v>
      </c>
      <c r="D112">
        <v>5</v>
      </c>
      <c r="E112" s="3"/>
      <c r="F112" s="66">
        <v>6000</v>
      </c>
      <c r="I112" s="104">
        <v>10</v>
      </c>
      <c r="J112" s="107" t="str">
        <f>IF(G4&gt;L106,"EXCEEDS AEGL3",IF(G4&gt;K106,"EXCEEDS AEGL2",IF(G4&gt;J106,"EXCEEDS AEGL1","BELOW AEGL1")))</f>
        <v>EXCEEDS AEGL3</v>
      </c>
      <c r="K112" s="105"/>
      <c r="L112" s="105" t="str">
        <f>IF(H4&lt;=I112,J112,IF(H4&lt;=I113,J113,IF(H4&lt;=I114,J114,IF(H4&lt;=I115,J115,IF(H4&lt;=I116,J116,"Exposure Duration Exceeds 8-hours")))))</f>
        <v>EXCEEDS AEGL3</v>
      </c>
      <c r="M112" s="106"/>
      <c r="Y112" s="119"/>
      <c r="Z112" s="119"/>
      <c r="AA112" s="119"/>
      <c r="AB112" s="119"/>
    </row>
    <row r="113" spans="1:28" x14ac:dyDescent="0.2">
      <c r="A113" s="83" t="s">
        <v>198</v>
      </c>
      <c r="B113" t="s">
        <v>61</v>
      </c>
      <c r="C113">
        <v>1</v>
      </c>
      <c r="D113">
        <v>5</v>
      </c>
      <c r="E113" s="3">
        <v>0.25</v>
      </c>
      <c r="F113" s="65">
        <f>F$112*POWER(10,C113*E113/D113)</f>
        <v>6732.1107258117818</v>
      </c>
      <c r="I113" s="104">
        <v>30</v>
      </c>
      <c r="J113" s="107" t="str">
        <f>IF(G4&gt;L107,"EXCEEDS AEGL3",IF(G4&gt;K107,"EXCEEDS AEGL2",IF(G4&gt;J107,"EXCEEDS AEGL1","BELOW AEGL1")))</f>
        <v>EXCEEDS AEGL3</v>
      </c>
      <c r="K113" s="105"/>
      <c r="L113" s="105"/>
      <c r="M113" s="106"/>
      <c r="Y113" s="119"/>
      <c r="Z113" s="119"/>
      <c r="AA113" s="119"/>
      <c r="AB113" s="119"/>
    </row>
    <row r="114" spans="1:28" x14ac:dyDescent="0.2">
      <c r="A114" s="83" t="s">
        <v>198</v>
      </c>
      <c r="B114" t="s">
        <v>62</v>
      </c>
      <c r="C114">
        <v>1</v>
      </c>
      <c r="D114">
        <v>5</v>
      </c>
      <c r="E114" s="3">
        <v>0.52</v>
      </c>
      <c r="F114" s="65">
        <f>F$112*POWER(10,C114*E114/D114)</f>
        <v>7623.4446312512509</v>
      </c>
      <c r="I114" s="104">
        <v>60</v>
      </c>
      <c r="J114" s="107" t="str">
        <f>IF(G4&gt;L108,"EXCEEDS AEGL3",IF(G4&gt;K108,"EXCEEDS AEGL2",IF(G4&gt;J108,"EXCEEDS AEGL1","BELOW AEGL1")))</f>
        <v>EXCEEDS AEGL3</v>
      </c>
      <c r="K114" s="105"/>
      <c r="L114" s="105"/>
      <c r="M114" s="106"/>
      <c r="Y114" s="119"/>
      <c r="Z114" s="119"/>
      <c r="AA114" s="119"/>
      <c r="AB114" s="119"/>
    </row>
    <row r="115" spans="1:28" ht="12.75" customHeight="1" x14ac:dyDescent="0.2">
      <c r="A115" s="83" t="s">
        <v>198</v>
      </c>
      <c r="B115" t="s">
        <v>63</v>
      </c>
      <c r="C115">
        <v>1</v>
      </c>
      <c r="D115">
        <v>5</v>
      </c>
      <c r="E115">
        <v>1</v>
      </c>
      <c r="F115" s="65">
        <f>F$112*POWER(10,C115*E115/D115)</f>
        <v>9509.359154766682</v>
      </c>
      <c r="I115" s="104">
        <v>240</v>
      </c>
      <c r="J115" s="107" t="str">
        <f>IF(G4&gt;L109,"EXCEEDS AEGL3",IF(G4&gt;K109,"EXCEEDS AEGL2",IF(G4&gt;J109,"EXCEEDS AEGL1","BELOW AEGL1")))</f>
        <v>EXCEEDS AEGL3</v>
      </c>
      <c r="K115" s="105"/>
      <c r="L115" s="105"/>
      <c r="M115" s="106"/>
      <c r="Y115" s="119"/>
      <c r="Z115" s="119"/>
      <c r="AA115" s="119"/>
      <c r="AB115" s="119"/>
    </row>
    <row r="116" spans="1:28" ht="12.75" customHeight="1" x14ac:dyDescent="0.25">
      <c r="A116" s="83" t="s">
        <v>198</v>
      </c>
      <c r="B116" t="s">
        <v>70</v>
      </c>
      <c r="C116">
        <v>1</v>
      </c>
      <c r="D116">
        <v>5</v>
      </c>
      <c r="E116">
        <v>-1</v>
      </c>
      <c r="F116" s="65">
        <f>F$119*POWER(10,C116*E116/D116)</f>
        <v>2523.8293779207729</v>
      </c>
      <c r="G116" s="1"/>
      <c r="I116" s="104">
        <v>480</v>
      </c>
      <c r="J116" s="107" t="str">
        <f>IF(G4&gt;L110,"EXCEEDS AEGL3",IF(G4&gt;K110,"EXCEEDS AEGL2",IF(G4&gt;J110,"EXCEEDS AEGL1","BELOW AEGL1")))</f>
        <v>EXCEEDS AEGL3</v>
      </c>
      <c r="K116" s="105"/>
      <c r="L116" s="105"/>
      <c r="M116" s="106"/>
      <c r="Y116" s="119"/>
      <c r="Z116" s="119"/>
      <c r="AA116" s="119"/>
      <c r="AB116" s="119"/>
    </row>
    <row r="117" spans="1:28" ht="12.75" customHeight="1" thickBot="1" x14ac:dyDescent="0.3">
      <c r="A117" s="83" t="s">
        <v>198</v>
      </c>
      <c r="B117" t="s">
        <v>64</v>
      </c>
      <c r="C117">
        <v>1</v>
      </c>
      <c r="D117">
        <v>5</v>
      </c>
      <c r="E117" s="3">
        <v>-0.52</v>
      </c>
      <c r="F117" s="65">
        <f>F$119*POWER(10,C117*E117/D117)</f>
        <v>3148.183158780394</v>
      </c>
      <c r="G117" s="1"/>
      <c r="H117" s="1"/>
      <c r="I117" s="111"/>
      <c r="J117" s="112"/>
      <c r="K117" s="112"/>
      <c r="L117" s="112"/>
      <c r="M117" s="113"/>
    </row>
    <row r="118" spans="1:28" ht="12.75" customHeight="1" x14ac:dyDescent="0.25">
      <c r="A118" s="83" t="s">
        <v>198</v>
      </c>
      <c r="B118" t="s">
        <v>65</v>
      </c>
      <c r="C118">
        <v>1</v>
      </c>
      <c r="D118">
        <v>5</v>
      </c>
      <c r="E118" s="3">
        <v>-0.25</v>
      </c>
      <c r="F118" s="65">
        <f>F$119*POWER(10,C118*E118/D118)</f>
        <v>3565.0037525349817</v>
      </c>
      <c r="G118" s="1"/>
      <c r="H118" s="1"/>
      <c r="I118" s="104" t="s">
        <v>81</v>
      </c>
      <c r="J118" s="116" t="s">
        <v>205</v>
      </c>
      <c r="K118" s="117" t="s">
        <v>206</v>
      </c>
      <c r="L118" s="116" t="s">
        <v>207</v>
      </c>
      <c r="M118" s="106"/>
    </row>
    <row r="119" spans="1:28" ht="12.75" customHeight="1" x14ac:dyDescent="0.25">
      <c r="A119" s="83" t="s">
        <v>198</v>
      </c>
      <c r="B119" t="s">
        <v>66</v>
      </c>
      <c r="C119">
        <v>1</v>
      </c>
      <c r="D119">
        <v>5</v>
      </c>
      <c r="E119" s="3"/>
      <c r="F119" s="66">
        <v>4000</v>
      </c>
      <c r="G119" s="1"/>
      <c r="H119" s="1"/>
      <c r="I119" s="104">
        <v>10</v>
      </c>
      <c r="J119" s="118">
        <v>5.6999999999999998E-4</v>
      </c>
      <c r="K119" s="117">
        <v>7.1999999999999998E-3</v>
      </c>
      <c r="L119" s="116">
        <v>2.9000000000000001E-2</v>
      </c>
      <c r="M119" s="106"/>
    </row>
    <row r="120" spans="1:28" ht="12.75" customHeight="1" x14ac:dyDescent="0.25">
      <c r="A120" s="83" t="s">
        <v>198</v>
      </c>
      <c r="B120" t="s">
        <v>67</v>
      </c>
      <c r="C120">
        <v>1</v>
      </c>
      <c r="D120">
        <v>5</v>
      </c>
      <c r="E120" s="3">
        <v>0.25</v>
      </c>
      <c r="F120" s="65">
        <f>F$119*POWER(10,C120*E120/D120)</f>
        <v>4488.0738172078545</v>
      </c>
      <c r="G120" s="1"/>
      <c r="H120" s="1"/>
      <c r="I120" s="104">
        <v>30</v>
      </c>
      <c r="J120" s="118">
        <v>3.3E-4</v>
      </c>
      <c r="K120" s="117">
        <v>4.1999999999999997E-3</v>
      </c>
      <c r="L120" s="116">
        <v>1.4999999999999999E-2</v>
      </c>
      <c r="M120" s="106"/>
    </row>
    <row r="121" spans="1:28" x14ac:dyDescent="0.2">
      <c r="A121" s="83" t="s">
        <v>198</v>
      </c>
      <c r="B121" t="s">
        <v>68</v>
      </c>
      <c r="C121">
        <v>1</v>
      </c>
      <c r="D121">
        <v>5</v>
      </c>
      <c r="E121" s="3">
        <v>0.52</v>
      </c>
      <c r="F121" s="65">
        <f>F$119*POWER(10,C121*E121/D121)</f>
        <v>5082.2964208341673</v>
      </c>
      <c r="I121" s="104">
        <v>60</v>
      </c>
      <c r="J121" s="118">
        <v>1.7000000000000001E-4</v>
      </c>
      <c r="K121" s="116">
        <v>2.8999999999999998E-3</v>
      </c>
      <c r="L121" s="116">
        <v>0.01</v>
      </c>
      <c r="M121" s="106"/>
    </row>
    <row r="122" spans="1:28" x14ac:dyDescent="0.2">
      <c r="A122" s="83" t="s">
        <v>198</v>
      </c>
      <c r="B122" t="s">
        <v>69</v>
      </c>
      <c r="C122">
        <v>1</v>
      </c>
      <c r="D122">
        <v>5</v>
      </c>
      <c r="E122">
        <v>1</v>
      </c>
      <c r="F122" s="65">
        <f>F$119*POWER(10,C122*E122/D122)</f>
        <v>6339.5727698444543</v>
      </c>
      <c r="I122" s="104">
        <v>240</v>
      </c>
      <c r="J122" s="118">
        <v>1E-4</v>
      </c>
      <c r="K122" s="117">
        <v>1.5E-3</v>
      </c>
      <c r="L122" s="116">
        <v>5.1999999999999998E-3</v>
      </c>
      <c r="M122" s="106"/>
    </row>
    <row r="123" spans="1:28" x14ac:dyDescent="0.2">
      <c r="A123" s="83" t="s">
        <v>198</v>
      </c>
      <c r="B123" t="s">
        <v>176</v>
      </c>
      <c r="C123">
        <v>1</v>
      </c>
      <c r="D123">
        <v>5</v>
      </c>
      <c r="E123">
        <v>-1</v>
      </c>
      <c r="F123" s="65">
        <f>F$126*POWER(10,C123*E123/D123)</f>
        <v>378.57440668811597</v>
      </c>
      <c r="I123" s="104">
        <v>480</v>
      </c>
      <c r="J123" s="118">
        <v>7.1000000000000005E-5</v>
      </c>
      <c r="K123" s="117">
        <v>1E-3</v>
      </c>
      <c r="L123" s="116">
        <v>3.8E-3</v>
      </c>
      <c r="M123" s="106"/>
    </row>
    <row r="124" spans="1:28" x14ac:dyDescent="0.2">
      <c r="A124" s="83" t="s">
        <v>198</v>
      </c>
      <c r="B124" t="s">
        <v>177</v>
      </c>
      <c r="C124">
        <v>1</v>
      </c>
      <c r="D124">
        <v>5</v>
      </c>
      <c r="E124" s="3">
        <v>-0.52</v>
      </c>
      <c r="F124" s="65">
        <f>F$126*POWER(10,C124*E124/D124)</f>
        <v>472.22747381705909</v>
      </c>
      <c r="I124" s="104"/>
      <c r="J124" s="105"/>
      <c r="K124" s="105"/>
      <c r="L124" s="105"/>
      <c r="M124" s="106"/>
    </row>
    <row r="125" spans="1:28" x14ac:dyDescent="0.2">
      <c r="A125" s="83" t="s">
        <v>198</v>
      </c>
      <c r="B125" t="s">
        <v>178</v>
      </c>
      <c r="C125">
        <v>1</v>
      </c>
      <c r="D125">
        <v>5</v>
      </c>
      <c r="E125" s="3">
        <v>-0.25</v>
      </c>
      <c r="F125" s="65">
        <f>F$126*POWER(10,C125*E125/D125)</f>
        <v>534.75056288024723</v>
      </c>
      <c r="I125" s="104">
        <v>10</v>
      </c>
      <c r="J125" s="107" t="str">
        <f>IF(G4&gt;L119,"EXCEEDS AEGL3",IF(G4&gt;K119,"EXCEEDS AEGL2",IF(G4&gt;J119,"EXCEEDS AEGL1","BELOW AEGL1")))</f>
        <v>EXCEEDS AEGL3</v>
      </c>
      <c r="K125" s="105"/>
      <c r="L125" s="105" t="str">
        <f>IF(H4&lt;=I125,J125,IF(H4&lt;=I126,J126,IF(H4&lt;=I127,J127,IF(H4&lt;=I128,J128,IF(H4&lt;=I129,J129,"Exposure Duration Exceeds 8-hours")))))</f>
        <v>EXCEEDS AEGL3</v>
      </c>
      <c r="M125" s="106"/>
    </row>
    <row r="126" spans="1:28" x14ac:dyDescent="0.2">
      <c r="A126" s="83" t="s">
        <v>198</v>
      </c>
      <c r="B126" t="s">
        <v>179</v>
      </c>
      <c r="C126">
        <v>1</v>
      </c>
      <c r="D126">
        <v>5</v>
      </c>
      <c r="E126" s="3"/>
      <c r="F126" s="66">
        <v>600</v>
      </c>
      <c r="I126" s="104">
        <v>30</v>
      </c>
      <c r="J126" s="107" t="str">
        <f>IF(G4&gt;L120,"EXCEEDS AEGL3",IF(G4&gt;K120,"EXCEEDS AEGL2",IF(G4&gt;J120,"EXCEEDS AEGL1","BELOW AEGL1")))</f>
        <v>EXCEEDS AEGL3</v>
      </c>
      <c r="K126" s="105"/>
      <c r="L126" s="105"/>
      <c r="M126" s="106"/>
    </row>
    <row r="127" spans="1:28" x14ac:dyDescent="0.2">
      <c r="A127" s="83" t="s">
        <v>198</v>
      </c>
      <c r="B127" t="s">
        <v>180</v>
      </c>
      <c r="C127">
        <v>1</v>
      </c>
      <c r="D127">
        <v>5</v>
      </c>
      <c r="E127" s="3">
        <v>0.25</v>
      </c>
      <c r="F127" s="65">
        <f>F$126*POWER(10,C127*E127/D127)</f>
        <v>673.21107258117809</v>
      </c>
      <c r="I127" s="104">
        <v>60</v>
      </c>
      <c r="J127" s="107" t="str">
        <f>IF(G4&gt;L121,"EXCEEDS AEGL3",IF(G4&gt;K121,"EXCEEDS AEGL2",IF(G4&gt;J121,"EXCEEDS AEGL1","BELOW AEGL1")))</f>
        <v>EXCEEDS AEGL3</v>
      </c>
      <c r="K127" s="105"/>
      <c r="L127" s="105"/>
      <c r="M127" s="106"/>
    </row>
    <row r="128" spans="1:28" x14ac:dyDescent="0.2">
      <c r="A128" s="83" t="s">
        <v>198</v>
      </c>
      <c r="B128" t="s">
        <v>181</v>
      </c>
      <c r="C128">
        <v>1</v>
      </c>
      <c r="D128">
        <v>5</v>
      </c>
      <c r="E128" s="3">
        <v>0.52</v>
      </c>
      <c r="F128" s="65">
        <f>F$126*POWER(10,C128*E128/D128)</f>
        <v>762.344463125125</v>
      </c>
      <c r="I128" s="104">
        <v>240</v>
      </c>
      <c r="J128" s="107" t="str">
        <f>IF(G4&gt;L122,"EXCEEDS AEGL3",IF(G4&gt;K122,"EXCEEDS AEGL2",IF(G4&gt;J122,"EXCEEDS AEGL1","BELOW AEGL1")))</f>
        <v>EXCEEDS AEGL3</v>
      </c>
      <c r="K128" s="105"/>
      <c r="L128" s="105"/>
      <c r="M128" s="106"/>
    </row>
    <row r="129" spans="1:33" x14ac:dyDescent="0.2">
      <c r="A129" s="83" t="s">
        <v>198</v>
      </c>
      <c r="B129" t="s">
        <v>182</v>
      </c>
      <c r="C129">
        <v>1</v>
      </c>
      <c r="D129">
        <v>5</v>
      </c>
      <c r="E129">
        <v>1</v>
      </c>
      <c r="F129" s="65">
        <f>F$126*POWER(10,C129*E129/D129)</f>
        <v>950.93591547666813</v>
      </c>
      <c r="I129" s="104">
        <v>480</v>
      </c>
      <c r="J129" s="107" t="str">
        <f>IF(G4&gt;L123,"EXCEEDS AEGL3",IF(G4&gt;K123,"EXCEEDS AEGL2",IF(G4&gt;J123,"EXCEEDS AEGL1","BELOW AEGL1")))</f>
        <v>EXCEEDS AEGL3</v>
      </c>
      <c r="K129" s="105"/>
      <c r="L129" s="105"/>
      <c r="M129" s="106"/>
    </row>
    <row r="130" spans="1:33" ht="13.5" thickBot="1" x14ac:dyDescent="0.25">
      <c r="A130" s="6" t="s">
        <v>79</v>
      </c>
      <c r="B130" t="s">
        <v>57</v>
      </c>
      <c r="C130">
        <v>1.25</v>
      </c>
      <c r="D130">
        <v>12</v>
      </c>
      <c r="E130">
        <v>-1</v>
      </c>
      <c r="F130" s="65">
        <f>F133*POWER(10,C130*E130/D130)</f>
        <v>56.330856628451698</v>
      </c>
      <c r="I130" s="104"/>
      <c r="J130" s="105"/>
      <c r="K130" s="105"/>
      <c r="L130" s="105"/>
      <c r="M130" s="106"/>
    </row>
    <row r="131" spans="1:33" ht="25.5" x14ac:dyDescent="0.2">
      <c r="A131" s="6" t="s">
        <v>79</v>
      </c>
      <c r="B131" t="s">
        <v>58</v>
      </c>
      <c r="C131">
        <v>1.25</v>
      </c>
      <c r="D131">
        <v>12</v>
      </c>
      <c r="E131" s="3">
        <v>-0.52</v>
      </c>
      <c r="F131" s="65">
        <f>F133*POWER(10,C131*E131/D131)</f>
        <v>63.204260683760879</v>
      </c>
      <c r="I131" s="108" t="s">
        <v>211</v>
      </c>
      <c r="J131" s="427" t="s">
        <v>216</v>
      </c>
      <c r="K131" s="427"/>
      <c r="L131" s="427"/>
      <c r="M131" s="428"/>
    </row>
    <row r="132" spans="1:33" ht="26.25" x14ac:dyDescent="0.25">
      <c r="A132" s="6" t="s">
        <v>79</v>
      </c>
      <c r="B132" t="s">
        <v>59</v>
      </c>
      <c r="C132">
        <v>1.25</v>
      </c>
      <c r="D132">
        <v>12</v>
      </c>
      <c r="E132" s="3">
        <v>-0.25</v>
      </c>
      <c r="F132" s="65">
        <f>F133*POWER(10,C132*E132/D132)</f>
        <v>67.432825224920677</v>
      </c>
      <c r="I132" s="109" t="s">
        <v>212</v>
      </c>
      <c r="J132" s="417" t="s">
        <v>215</v>
      </c>
      <c r="K132" s="417"/>
      <c r="L132" s="417"/>
      <c r="M132" s="418"/>
      <c r="AG132" s="1"/>
    </row>
    <row r="133" spans="1:33" ht="25.5" x14ac:dyDescent="0.2">
      <c r="A133" s="6" t="s">
        <v>79</v>
      </c>
      <c r="B133" t="s">
        <v>60</v>
      </c>
      <c r="E133" s="3"/>
      <c r="F133" s="66">
        <v>71.599999999999994</v>
      </c>
      <c r="I133" s="109" t="s">
        <v>213</v>
      </c>
      <c r="J133" s="417" t="s">
        <v>496</v>
      </c>
      <c r="K133" s="417"/>
      <c r="L133" s="417"/>
      <c r="M133" s="418"/>
    </row>
    <row r="134" spans="1:33" ht="26.25" thickBot="1" x14ac:dyDescent="0.25">
      <c r="A134" s="6" t="s">
        <v>79</v>
      </c>
      <c r="B134" t="s">
        <v>61</v>
      </c>
      <c r="C134">
        <v>1.25</v>
      </c>
      <c r="D134">
        <v>12</v>
      </c>
      <c r="E134" s="3">
        <v>0.25</v>
      </c>
      <c r="F134" s="65">
        <f>F133*POWER(10,C134*E134/D134)</f>
        <v>76.024695434315149</v>
      </c>
      <c r="I134" s="110" t="s">
        <v>214</v>
      </c>
      <c r="J134" s="419" t="s">
        <v>503</v>
      </c>
      <c r="K134" s="419"/>
      <c r="L134" s="419"/>
      <c r="M134" s="420"/>
    </row>
    <row r="135" spans="1:33" ht="13.5" thickBot="1" x14ac:dyDescent="0.25">
      <c r="A135" s="6" t="s">
        <v>79</v>
      </c>
      <c r="B135" t="s">
        <v>62</v>
      </c>
      <c r="C135">
        <v>1.25</v>
      </c>
      <c r="D135">
        <v>12</v>
      </c>
      <c r="E135" s="3">
        <v>0.52</v>
      </c>
      <c r="F135" s="65">
        <f>F133*POWER(10,C135*E135/D135)</f>
        <v>81.11098752741475</v>
      </c>
    </row>
    <row r="136" spans="1:33" x14ac:dyDescent="0.2">
      <c r="A136" s="6" t="s">
        <v>79</v>
      </c>
      <c r="B136" t="s">
        <v>63</v>
      </c>
      <c r="C136">
        <v>1.25</v>
      </c>
      <c r="D136">
        <v>12</v>
      </c>
      <c r="E136">
        <v>1</v>
      </c>
      <c r="F136" s="65">
        <f>F133*POWER(10,C136*E136/D136)</f>
        <v>91.00802485241573</v>
      </c>
      <c r="I136" s="424" t="s">
        <v>233</v>
      </c>
      <c r="J136" s="425"/>
      <c r="K136" s="425"/>
      <c r="L136" s="425"/>
      <c r="M136" s="426"/>
    </row>
    <row r="137" spans="1:33" x14ac:dyDescent="0.2">
      <c r="A137" s="6" t="s">
        <v>79</v>
      </c>
      <c r="B137" t="s">
        <v>70</v>
      </c>
      <c r="C137">
        <v>1.25</v>
      </c>
      <c r="D137">
        <v>12</v>
      </c>
      <c r="E137">
        <v>-1</v>
      </c>
      <c r="F137" s="65">
        <f>F140*POWER(10,C137*E137/D137)</f>
        <v>36.976958960017178</v>
      </c>
      <c r="I137" s="159" t="s">
        <v>55</v>
      </c>
      <c r="J137" s="160" t="s">
        <v>239</v>
      </c>
      <c r="K137" s="161" t="s">
        <v>248</v>
      </c>
      <c r="L137" s="160"/>
      <c r="M137" s="162" t="s">
        <v>56</v>
      </c>
    </row>
    <row r="138" spans="1:33" x14ac:dyDescent="0.2">
      <c r="A138" s="6" t="s">
        <v>79</v>
      </c>
      <c r="B138" t="s">
        <v>64</v>
      </c>
      <c r="C138">
        <v>1.25</v>
      </c>
      <c r="D138">
        <v>12</v>
      </c>
      <c r="E138" s="3">
        <v>-0.52</v>
      </c>
      <c r="F138" s="65">
        <f>F140*POWER(10,C138*E138/D138)</f>
        <v>41.488830337105611</v>
      </c>
      <c r="I138" s="159" t="s">
        <v>234</v>
      </c>
      <c r="J138" s="161">
        <f>G4*H4</f>
        <v>14789.201509055989</v>
      </c>
      <c r="K138" s="163">
        <f>J138/F382</f>
        <v>14.789201509055989</v>
      </c>
      <c r="L138" s="161"/>
      <c r="M138" s="162" t="s">
        <v>241</v>
      </c>
    </row>
    <row r="139" spans="1:33" x14ac:dyDescent="0.2">
      <c r="A139" s="6" t="s">
        <v>79</v>
      </c>
      <c r="B139" t="s">
        <v>65</v>
      </c>
      <c r="C139">
        <v>1.25</v>
      </c>
      <c r="D139">
        <v>12</v>
      </c>
      <c r="E139" s="3">
        <v>-0.25</v>
      </c>
      <c r="F139" s="65">
        <f>F140*POWER(10,C139*E139/D139)</f>
        <v>44.264564044291511</v>
      </c>
      <c r="I139" s="159"/>
      <c r="J139" s="161"/>
      <c r="K139" s="163">
        <f>J138/F383</f>
        <v>1.4789201509055989</v>
      </c>
      <c r="L139" s="161"/>
      <c r="M139" s="162" t="s">
        <v>240</v>
      </c>
    </row>
    <row r="140" spans="1:33" x14ac:dyDescent="0.2">
      <c r="A140" s="6" t="s">
        <v>79</v>
      </c>
      <c r="B140" t="s">
        <v>66</v>
      </c>
      <c r="E140" s="3"/>
      <c r="F140" s="66">
        <v>47</v>
      </c>
      <c r="I140" s="159"/>
      <c r="J140" s="161"/>
      <c r="K140" s="163">
        <f>J138/F384</f>
        <v>2.9578403018111978</v>
      </c>
      <c r="L140" s="161"/>
      <c r="M140" s="162" t="s">
        <v>246</v>
      </c>
    </row>
    <row r="141" spans="1:33" x14ac:dyDescent="0.2">
      <c r="A141" s="6" t="s">
        <v>79</v>
      </c>
      <c r="B141" t="s">
        <v>67</v>
      </c>
      <c r="C141">
        <v>1.25</v>
      </c>
      <c r="D141">
        <v>12</v>
      </c>
      <c r="E141" s="3">
        <v>0.25</v>
      </c>
      <c r="F141" s="65">
        <f>F140*POWER(10,C141*E141/D141)</f>
        <v>49.904478846547661</v>
      </c>
      <c r="I141" s="159"/>
      <c r="J141" s="161"/>
      <c r="K141" s="163">
        <f>J138/F385</f>
        <v>29.578403018111977</v>
      </c>
      <c r="L141" s="161"/>
      <c r="M141" s="162" t="s">
        <v>242</v>
      </c>
    </row>
    <row r="142" spans="1:33" x14ac:dyDescent="0.2">
      <c r="A142" s="6" t="s">
        <v>79</v>
      </c>
      <c r="B142" t="s">
        <v>68</v>
      </c>
      <c r="C142">
        <v>1.25</v>
      </c>
      <c r="D142">
        <v>12</v>
      </c>
      <c r="E142" s="3">
        <v>0.52</v>
      </c>
      <c r="F142" s="65">
        <f>F140*POWER(10,C142*E142/D142)</f>
        <v>53.243246002632596</v>
      </c>
      <c r="I142" s="164"/>
      <c r="J142" s="161"/>
      <c r="K142" s="163">
        <f>J138/F386</f>
        <v>73.94600754527994</v>
      </c>
      <c r="L142" s="161"/>
      <c r="M142" s="162" t="s">
        <v>243</v>
      </c>
    </row>
    <row r="143" spans="1:33" x14ac:dyDescent="0.2">
      <c r="A143" s="6" t="s">
        <v>79</v>
      </c>
      <c r="B143" t="s">
        <v>69</v>
      </c>
      <c r="C143">
        <v>1.25</v>
      </c>
      <c r="D143">
        <v>12</v>
      </c>
      <c r="E143">
        <v>1</v>
      </c>
      <c r="F143" s="65">
        <f>F140*POWER(10,C143*E143/D143)</f>
        <v>59.739904581893008</v>
      </c>
      <c r="I143" s="164"/>
      <c r="J143" s="161"/>
      <c r="K143" s="163">
        <f>J138/F387</f>
        <v>295.78403018111976</v>
      </c>
      <c r="L143" s="161"/>
      <c r="M143" s="162" t="s">
        <v>244</v>
      </c>
    </row>
    <row r="144" spans="1:33" x14ac:dyDescent="0.2">
      <c r="A144" s="6" t="s">
        <v>79</v>
      </c>
      <c r="B144" t="s">
        <v>77</v>
      </c>
      <c r="C144">
        <v>1.4</v>
      </c>
      <c r="D144">
        <v>10</v>
      </c>
      <c r="E144">
        <v>-1</v>
      </c>
      <c r="F144" s="65">
        <f>F147*POWER(10,C144*E144/D144)</f>
        <v>5.7954876805999207E-2</v>
      </c>
      <c r="I144" s="164"/>
      <c r="J144" s="161"/>
      <c r="K144" s="163">
        <f>J138/F388</f>
        <v>591.56806036223952</v>
      </c>
      <c r="L144" s="161"/>
      <c r="M144" s="162" t="s">
        <v>245</v>
      </c>
    </row>
    <row r="145" spans="1:13" x14ac:dyDescent="0.2">
      <c r="A145" s="6" t="s">
        <v>79</v>
      </c>
      <c r="B145" t="s">
        <v>71</v>
      </c>
      <c r="C145">
        <v>1.4</v>
      </c>
      <c r="D145">
        <v>10</v>
      </c>
      <c r="E145" s="3">
        <v>-0.52</v>
      </c>
      <c r="F145" s="65">
        <f>F147*POWER(10,C145*E145/D145)</f>
        <v>6.7653456007948365E-2</v>
      </c>
      <c r="I145" s="164"/>
      <c r="J145" s="161"/>
      <c r="K145" s="163">
        <f>J138/F389</f>
        <v>197.18935345407985</v>
      </c>
      <c r="L145" s="161"/>
      <c r="M145" s="162" t="s">
        <v>497</v>
      </c>
    </row>
    <row r="146" spans="1:13" x14ac:dyDescent="0.2">
      <c r="A146" s="6" t="s">
        <v>79</v>
      </c>
      <c r="B146" t="s">
        <v>72</v>
      </c>
      <c r="C146">
        <v>1.4</v>
      </c>
      <c r="D146">
        <v>10</v>
      </c>
      <c r="E146" s="3">
        <v>-0.25</v>
      </c>
      <c r="F146" s="65">
        <f>F147*POWER(10,C146*E146/D146)</f>
        <v>7.3805714172381048E-2</v>
      </c>
      <c r="I146" s="164"/>
      <c r="J146" s="161"/>
      <c r="K146" s="163">
        <f>J138/F390</f>
        <v>591.56806036223952</v>
      </c>
      <c r="L146" s="161"/>
      <c r="M146" s="162" t="s">
        <v>498</v>
      </c>
    </row>
    <row r="147" spans="1:13" x14ac:dyDescent="0.2">
      <c r="A147" s="6" t="s">
        <v>79</v>
      </c>
      <c r="B147" t="s">
        <v>73</v>
      </c>
      <c r="E147" s="3"/>
      <c r="F147" s="66">
        <v>0.08</v>
      </c>
      <c r="I147" s="164" t="s">
        <v>247</v>
      </c>
      <c r="J147" s="161">
        <f>G4*H4</f>
        <v>14789.201509055989</v>
      </c>
      <c r="K147" s="163">
        <f>J147/F391</f>
        <v>14.789201509055989</v>
      </c>
      <c r="L147" s="161"/>
      <c r="M147" s="162" t="s">
        <v>241</v>
      </c>
    </row>
    <row r="148" spans="1:13" x14ac:dyDescent="0.2">
      <c r="A148" s="6" t="s">
        <v>79</v>
      </c>
      <c r="B148" t="s">
        <v>74</v>
      </c>
      <c r="C148">
        <v>1.4</v>
      </c>
      <c r="D148">
        <v>10</v>
      </c>
      <c r="E148" s="3">
        <v>0.25</v>
      </c>
      <c r="F148" s="65">
        <f>F147*POWER(10,C148*E148/D148)</f>
        <v>8.671415312169628E-2</v>
      </c>
      <c r="I148" s="164"/>
      <c r="J148" s="161"/>
      <c r="K148" s="163">
        <f>J147/F392</f>
        <v>2.9578403018111978</v>
      </c>
      <c r="L148" s="161"/>
      <c r="M148" s="162" t="s">
        <v>240</v>
      </c>
    </row>
    <row r="149" spans="1:13" x14ac:dyDescent="0.2">
      <c r="A149" s="6" t="s">
        <v>79</v>
      </c>
      <c r="B149" t="s">
        <v>75</v>
      </c>
      <c r="C149">
        <v>1.4</v>
      </c>
      <c r="D149">
        <v>10</v>
      </c>
      <c r="E149" s="3">
        <v>0.52</v>
      </c>
      <c r="F149" s="65">
        <f>F147*POWER(10,C149*E149/D149)</f>
        <v>9.4599749630648391E-2</v>
      </c>
      <c r="I149" s="164"/>
      <c r="J149" s="161"/>
      <c r="K149" s="163">
        <f>J147/F393</f>
        <v>5.9156806036223957</v>
      </c>
      <c r="L149" s="161"/>
      <c r="M149" s="162" t="s">
        <v>246</v>
      </c>
    </row>
    <row r="150" spans="1:13" x14ac:dyDescent="0.2">
      <c r="A150" s="6" t="s">
        <v>79</v>
      </c>
      <c r="B150" t="s">
        <v>76</v>
      </c>
      <c r="C150">
        <v>1.4</v>
      </c>
      <c r="D150">
        <v>10</v>
      </c>
      <c r="E150">
        <v>1</v>
      </c>
      <c r="F150" s="65">
        <f>F147*POWER(10,C150*E150/D150)</f>
        <v>0.11043074116823079</v>
      </c>
      <c r="I150" s="164"/>
      <c r="J150" s="161"/>
      <c r="K150" s="163">
        <f>J147/F394</f>
        <v>29.578403018111977</v>
      </c>
      <c r="L150" s="161"/>
      <c r="M150" s="162" t="s">
        <v>242</v>
      </c>
    </row>
    <row r="151" spans="1:13" x14ac:dyDescent="0.2">
      <c r="A151" s="83" t="s">
        <v>504</v>
      </c>
      <c r="B151" t="s">
        <v>57</v>
      </c>
      <c r="C151">
        <v>1</v>
      </c>
      <c r="D151" s="298">
        <v>6</v>
      </c>
      <c r="E151">
        <v>-1</v>
      </c>
      <c r="F151" s="65">
        <f>F$154*POWER(10,C151*E151/D151)</f>
        <v>2043.8762071738838</v>
      </c>
      <c r="I151" s="164"/>
      <c r="J151" s="161"/>
      <c r="K151" s="163">
        <f>J147/F395</f>
        <v>73.94600754527994</v>
      </c>
      <c r="L151" s="161"/>
      <c r="M151" s="162" t="s">
        <v>243</v>
      </c>
    </row>
    <row r="152" spans="1:13" x14ac:dyDescent="0.2">
      <c r="A152" s="83" t="s">
        <v>504</v>
      </c>
      <c r="B152" t="s">
        <v>58</v>
      </c>
      <c r="C152">
        <v>1</v>
      </c>
      <c r="D152" s="298">
        <v>6</v>
      </c>
      <c r="E152">
        <v>-0.52</v>
      </c>
      <c r="F152" s="65">
        <f>F$154*POWER(10,C152*E152/D152)</f>
        <v>2457.2796726458914</v>
      </c>
      <c r="I152" s="164"/>
      <c r="J152" s="161"/>
      <c r="K152" s="163">
        <f>J147/F396</f>
        <v>295.78403018111976</v>
      </c>
      <c r="L152" s="161"/>
      <c r="M152" s="162" t="s">
        <v>244</v>
      </c>
    </row>
    <row r="153" spans="1:13" x14ac:dyDescent="0.2">
      <c r="A153" s="83" t="s">
        <v>504</v>
      </c>
      <c r="B153" t="s">
        <v>59</v>
      </c>
      <c r="C153">
        <v>1</v>
      </c>
      <c r="D153" s="298">
        <v>6</v>
      </c>
      <c r="E153">
        <v>-0.25</v>
      </c>
      <c r="F153" s="65">
        <f>F$154*POWER(10,C153*E153/D153)</f>
        <v>2725.5527269550603</v>
      </c>
      <c r="I153" s="164"/>
      <c r="J153" s="161"/>
      <c r="K153" s="163">
        <f>J147/F397</f>
        <v>591.56806036223952</v>
      </c>
      <c r="L153" s="161"/>
      <c r="M153" s="162" t="s">
        <v>245</v>
      </c>
    </row>
    <row r="154" spans="1:13" x14ac:dyDescent="0.2">
      <c r="A154" s="83" t="s">
        <v>504</v>
      </c>
      <c r="B154" t="s">
        <v>60</v>
      </c>
      <c r="C154">
        <v>1</v>
      </c>
      <c r="D154" s="298">
        <v>6</v>
      </c>
      <c r="F154" s="66">
        <v>3000</v>
      </c>
      <c r="I154" s="164"/>
      <c r="J154" s="161"/>
      <c r="K154" s="163">
        <f>J147/F398</f>
        <v>197.18935345407985</v>
      </c>
      <c r="L154" s="161"/>
      <c r="M154" s="162" t="s">
        <v>497</v>
      </c>
    </row>
    <row r="155" spans="1:13" ht="13.5" thickBot="1" x14ac:dyDescent="0.25">
      <c r="A155" s="83" t="s">
        <v>504</v>
      </c>
      <c r="B155" t="s">
        <v>61</v>
      </c>
      <c r="C155">
        <v>1</v>
      </c>
      <c r="D155" s="298">
        <v>6</v>
      </c>
      <c r="E155">
        <v>0.25</v>
      </c>
      <c r="F155" s="65">
        <f>F$154*POWER(10,C155*E155/D155)</f>
        <v>3302.0825137566289</v>
      </c>
      <c r="I155" s="165"/>
      <c r="J155" s="166"/>
      <c r="K155" s="167">
        <f>J147/F399</f>
        <v>591.56806036223952</v>
      </c>
      <c r="L155" s="166"/>
      <c r="M155" s="168" t="s">
        <v>498</v>
      </c>
    </row>
    <row r="156" spans="1:13" x14ac:dyDescent="0.2">
      <c r="A156" s="83" t="s">
        <v>504</v>
      </c>
      <c r="B156" t="s">
        <v>62</v>
      </c>
      <c r="C156">
        <v>1</v>
      </c>
      <c r="D156" s="298">
        <v>6</v>
      </c>
      <c r="E156">
        <v>0.52</v>
      </c>
      <c r="F156" s="65">
        <f>F$154*POWER(10,C156*E156/D156)</f>
        <v>3662.5867621772136</v>
      </c>
    </row>
    <row r="157" spans="1:13" x14ac:dyDescent="0.2">
      <c r="A157" s="83" t="s">
        <v>504</v>
      </c>
      <c r="B157" t="s">
        <v>63</v>
      </c>
      <c r="C157">
        <v>1</v>
      </c>
      <c r="D157" s="298">
        <v>6</v>
      </c>
      <c r="E157">
        <v>1</v>
      </c>
      <c r="F157" s="65">
        <f>F$154*POWER(10,C157*E157/D157)</f>
        <v>4403.3978028662095</v>
      </c>
    </row>
    <row r="158" spans="1:13" x14ac:dyDescent="0.2">
      <c r="A158" s="83" t="s">
        <v>504</v>
      </c>
      <c r="B158" t="s">
        <v>70</v>
      </c>
      <c r="C158">
        <v>1</v>
      </c>
      <c r="D158" s="298">
        <v>6</v>
      </c>
      <c r="E158">
        <v>-1</v>
      </c>
      <c r="F158" s="65">
        <f>F$161*POWER(10,C158*E158/D158)</f>
        <v>1362.5841381159225</v>
      </c>
    </row>
    <row r="159" spans="1:13" x14ac:dyDescent="0.2">
      <c r="A159" s="83" t="s">
        <v>504</v>
      </c>
      <c r="B159" t="s">
        <v>64</v>
      </c>
      <c r="C159">
        <v>1</v>
      </c>
      <c r="D159" s="298">
        <v>6</v>
      </c>
      <c r="E159">
        <v>-0.52</v>
      </c>
      <c r="F159" s="65">
        <f>F$161*POWER(10,C159*E159/D159)</f>
        <v>1638.1864484305943</v>
      </c>
    </row>
    <row r="160" spans="1:13" x14ac:dyDescent="0.2">
      <c r="A160" s="83" t="s">
        <v>504</v>
      </c>
      <c r="B160" t="s">
        <v>65</v>
      </c>
      <c r="C160">
        <v>1</v>
      </c>
      <c r="D160" s="298">
        <v>6</v>
      </c>
      <c r="E160">
        <v>-0.25</v>
      </c>
      <c r="F160" s="65">
        <f>F$161*POWER(10,C160*E160/D160)</f>
        <v>1817.0351513033736</v>
      </c>
    </row>
    <row r="161" spans="1:6" x14ac:dyDescent="0.2">
      <c r="A161" s="83" t="s">
        <v>504</v>
      </c>
      <c r="B161" t="s">
        <v>66</v>
      </c>
      <c r="C161">
        <v>1</v>
      </c>
      <c r="D161" s="298">
        <v>6</v>
      </c>
      <c r="F161" s="66">
        <v>2000</v>
      </c>
    </row>
    <row r="162" spans="1:6" x14ac:dyDescent="0.2">
      <c r="A162" s="83" t="s">
        <v>504</v>
      </c>
      <c r="B162" t="s">
        <v>67</v>
      </c>
      <c r="C162">
        <v>1</v>
      </c>
      <c r="D162" s="298">
        <v>6</v>
      </c>
      <c r="E162">
        <v>0.25</v>
      </c>
      <c r="F162" s="65">
        <f>F$161*POWER(10,C162*E162/D162)</f>
        <v>2201.3883425044191</v>
      </c>
    </row>
    <row r="163" spans="1:6" x14ac:dyDescent="0.2">
      <c r="A163" s="83" t="s">
        <v>504</v>
      </c>
      <c r="B163" t="s">
        <v>68</v>
      </c>
      <c r="C163">
        <v>1</v>
      </c>
      <c r="D163" s="298">
        <v>6</v>
      </c>
      <c r="E163">
        <v>0.52</v>
      </c>
      <c r="F163" s="65">
        <f>F$161*POWER(10,C163*E163/D163)</f>
        <v>2441.7245081181422</v>
      </c>
    </row>
    <row r="164" spans="1:6" x14ac:dyDescent="0.2">
      <c r="A164" s="83" t="s">
        <v>504</v>
      </c>
      <c r="B164" t="s">
        <v>69</v>
      </c>
      <c r="C164">
        <v>1</v>
      </c>
      <c r="D164" s="298">
        <v>6</v>
      </c>
      <c r="E164">
        <v>1</v>
      </c>
      <c r="F164" s="65">
        <f>F$161*POWER(10,C164*E164/D164)</f>
        <v>2935.5985352441394</v>
      </c>
    </row>
    <row r="165" spans="1:6" x14ac:dyDescent="0.2">
      <c r="A165" s="83" t="s">
        <v>504</v>
      </c>
      <c r="B165" t="s">
        <v>176</v>
      </c>
      <c r="C165">
        <v>1</v>
      </c>
      <c r="D165" s="298">
        <v>6</v>
      </c>
      <c r="E165">
        <v>-1</v>
      </c>
      <c r="F165" s="65">
        <f>F$168*POWER(10,C165*E165/D165)</f>
        <v>204.38762071738839</v>
      </c>
    </row>
    <row r="166" spans="1:6" x14ac:dyDescent="0.2">
      <c r="A166" s="83" t="s">
        <v>504</v>
      </c>
      <c r="B166" t="s">
        <v>177</v>
      </c>
      <c r="C166">
        <v>1</v>
      </c>
      <c r="D166" s="298">
        <v>6</v>
      </c>
      <c r="E166">
        <v>-0.52</v>
      </c>
      <c r="F166" s="65">
        <f>F$168*POWER(10,C166*E166/D166)</f>
        <v>245.72796726458915</v>
      </c>
    </row>
    <row r="167" spans="1:6" x14ac:dyDescent="0.2">
      <c r="A167" s="83" t="s">
        <v>504</v>
      </c>
      <c r="B167" t="s">
        <v>178</v>
      </c>
      <c r="C167">
        <v>1</v>
      </c>
      <c r="D167" s="298">
        <v>6</v>
      </c>
      <c r="E167">
        <v>-0.25</v>
      </c>
      <c r="F167" s="65">
        <f>F$168*POWER(10,C167*E167/D167)</f>
        <v>272.55527269550606</v>
      </c>
    </row>
    <row r="168" spans="1:6" x14ac:dyDescent="0.2">
      <c r="A168" s="83" t="s">
        <v>504</v>
      </c>
      <c r="B168" t="s">
        <v>179</v>
      </c>
      <c r="C168">
        <v>1</v>
      </c>
      <c r="D168" s="298">
        <v>6</v>
      </c>
      <c r="F168" s="66">
        <v>300</v>
      </c>
    </row>
    <row r="169" spans="1:6" x14ac:dyDescent="0.2">
      <c r="A169" s="83" t="s">
        <v>504</v>
      </c>
      <c r="B169" t="s">
        <v>180</v>
      </c>
      <c r="C169">
        <v>1</v>
      </c>
      <c r="D169" s="298">
        <v>6</v>
      </c>
      <c r="E169">
        <v>0.25</v>
      </c>
      <c r="F169" s="65">
        <f>F$168*POWER(10,C169*E169/D169)</f>
        <v>330.20825137566288</v>
      </c>
    </row>
    <row r="170" spans="1:6" x14ac:dyDescent="0.2">
      <c r="A170" s="83" t="s">
        <v>504</v>
      </c>
      <c r="B170" t="s">
        <v>181</v>
      </c>
      <c r="C170">
        <v>1</v>
      </c>
      <c r="D170" s="298">
        <v>6</v>
      </c>
      <c r="E170">
        <v>0.52</v>
      </c>
      <c r="F170" s="65">
        <f>F$168*POWER(10,C170*E170/D170)</f>
        <v>366.25867621772136</v>
      </c>
    </row>
    <row r="171" spans="1:6" x14ac:dyDescent="0.2">
      <c r="A171" s="83" t="s">
        <v>504</v>
      </c>
      <c r="B171" t="s">
        <v>182</v>
      </c>
      <c r="C171">
        <v>1</v>
      </c>
      <c r="D171" s="298">
        <v>6</v>
      </c>
      <c r="E171">
        <v>1</v>
      </c>
      <c r="F171" s="65">
        <f>F$168*POWER(10,C171*E171/D171)</f>
        <v>440.33978028662091</v>
      </c>
    </row>
    <row r="172" spans="1:6" x14ac:dyDescent="0.2">
      <c r="A172" s="83" t="s">
        <v>505</v>
      </c>
      <c r="B172" t="s">
        <v>57</v>
      </c>
      <c r="C172">
        <v>1</v>
      </c>
      <c r="D172" s="298">
        <v>6</v>
      </c>
      <c r="E172">
        <v>-1</v>
      </c>
      <c r="F172" s="65">
        <f>F$175*POWER(10,C172*E172/D172)</f>
        <v>1021.9381035869419</v>
      </c>
    </row>
    <row r="173" spans="1:6" x14ac:dyDescent="0.2">
      <c r="A173" s="83" t="s">
        <v>505</v>
      </c>
      <c r="B173" t="s">
        <v>58</v>
      </c>
      <c r="C173">
        <v>1</v>
      </c>
      <c r="D173" s="298">
        <v>6</v>
      </c>
      <c r="E173">
        <v>-0.52</v>
      </c>
      <c r="F173" s="65">
        <f>F$175*POWER(10,C173*E173/D173)</f>
        <v>1228.6398363229457</v>
      </c>
    </row>
    <row r="174" spans="1:6" x14ac:dyDescent="0.2">
      <c r="A174" s="83" t="s">
        <v>505</v>
      </c>
      <c r="B174" t="s">
        <v>59</v>
      </c>
      <c r="C174">
        <v>1</v>
      </c>
      <c r="D174" s="298">
        <v>6</v>
      </c>
      <c r="E174">
        <v>-0.25</v>
      </c>
      <c r="F174" s="65">
        <f>F$175*POWER(10,C174*E174/D174)</f>
        <v>1362.7763634775301</v>
      </c>
    </row>
    <row r="175" spans="1:6" x14ac:dyDescent="0.2">
      <c r="A175" s="83" t="s">
        <v>505</v>
      </c>
      <c r="B175" t="s">
        <v>60</v>
      </c>
      <c r="C175">
        <v>1</v>
      </c>
      <c r="D175" s="298">
        <v>6</v>
      </c>
      <c r="F175" s="66">
        <v>1500</v>
      </c>
    </row>
    <row r="176" spans="1:6" x14ac:dyDescent="0.2">
      <c r="A176" s="83" t="s">
        <v>505</v>
      </c>
      <c r="B176" t="s">
        <v>61</v>
      </c>
      <c r="C176">
        <v>1</v>
      </c>
      <c r="D176" s="298">
        <v>6</v>
      </c>
      <c r="E176">
        <v>0.25</v>
      </c>
      <c r="F176" s="65">
        <f>F$175*POWER(10,C176*E176/D176)</f>
        <v>1651.0412568783145</v>
      </c>
    </row>
    <row r="177" spans="1:6" x14ac:dyDescent="0.2">
      <c r="A177" s="83" t="s">
        <v>505</v>
      </c>
      <c r="B177" t="s">
        <v>62</v>
      </c>
      <c r="C177">
        <v>1</v>
      </c>
      <c r="D177" s="298">
        <v>6</v>
      </c>
      <c r="E177">
        <v>0.52</v>
      </c>
      <c r="F177" s="65">
        <f>F$175*POWER(10,C177*E177/D177)</f>
        <v>1831.2933810886068</v>
      </c>
    </row>
    <row r="178" spans="1:6" x14ac:dyDescent="0.2">
      <c r="A178" s="83" t="s">
        <v>505</v>
      </c>
      <c r="B178" t="s">
        <v>63</v>
      </c>
      <c r="C178">
        <v>1</v>
      </c>
      <c r="D178" s="298">
        <v>6</v>
      </c>
      <c r="E178">
        <v>1</v>
      </c>
      <c r="F178" s="65">
        <f>F$175*POWER(10,C178*E178/D178)</f>
        <v>2201.6989014331048</v>
      </c>
    </row>
    <row r="179" spans="1:6" x14ac:dyDescent="0.2">
      <c r="A179" s="83" t="s">
        <v>505</v>
      </c>
      <c r="B179" t="s">
        <v>70</v>
      </c>
      <c r="C179">
        <v>1</v>
      </c>
      <c r="D179" s="298">
        <v>6</v>
      </c>
      <c r="E179">
        <v>-1</v>
      </c>
      <c r="F179" s="65">
        <f>F$182*POWER(10,C179*E179/D179)</f>
        <v>681.29206905796127</v>
      </c>
    </row>
    <row r="180" spans="1:6" x14ac:dyDescent="0.2">
      <c r="A180" s="83" t="s">
        <v>505</v>
      </c>
      <c r="B180" t="s">
        <v>64</v>
      </c>
      <c r="C180">
        <v>1</v>
      </c>
      <c r="D180" s="298">
        <v>6</v>
      </c>
      <c r="E180">
        <v>-0.52</v>
      </c>
      <c r="F180" s="65">
        <f>F$182*POWER(10,C180*E180/D180)</f>
        <v>819.09322421529714</v>
      </c>
    </row>
    <row r="181" spans="1:6" x14ac:dyDescent="0.2">
      <c r="A181" s="83" t="s">
        <v>505</v>
      </c>
      <c r="B181" t="s">
        <v>65</v>
      </c>
      <c r="C181">
        <v>1</v>
      </c>
      <c r="D181" s="298">
        <v>6</v>
      </c>
      <c r="E181">
        <v>-0.25</v>
      </c>
      <c r="F181" s="65">
        <f>F$182*POWER(10,C181*E181/D181)</f>
        <v>908.5175756516868</v>
      </c>
    </row>
    <row r="182" spans="1:6" x14ac:dyDescent="0.2">
      <c r="A182" s="83" t="s">
        <v>505</v>
      </c>
      <c r="B182" t="s">
        <v>66</v>
      </c>
      <c r="C182">
        <v>1</v>
      </c>
      <c r="D182" s="298">
        <v>6</v>
      </c>
      <c r="F182" s="66">
        <v>1000</v>
      </c>
    </row>
    <row r="183" spans="1:6" x14ac:dyDescent="0.2">
      <c r="A183" s="83" t="s">
        <v>505</v>
      </c>
      <c r="B183" t="s">
        <v>67</v>
      </c>
      <c r="C183">
        <v>1</v>
      </c>
      <c r="D183" s="298">
        <v>6</v>
      </c>
      <c r="E183">
        <v>0.25</v>
      </c>
      <c r="F183" s="65">
        <f>F$182*POWER(10,C183*E183/D183)</f>
        <v>1100.6941712522096</v>
      </c>
    </row>
    <row r="184" spans="1:6" x14ac:dyDescent="0.2">
      <c r="A184" s="83" t="s">
        <v>505</v>
      </c>
      <c r="B184" t="s">
        <v>68</v>
      </c>
      <c r="C184">
        <v>1</v>
      </c>
      <c r="D184" s="298">
        <v>6</v>
      </c>
      <c r="E184">
        <v>0.52</v>
      </c>
      <c r="F184" s="65">
        <f>F$182*POWER(10,C184*E184/D184)</f>
        <v>1220.8622540590711</v>
      </c>
    </row>
    <row r="185" spans="1:6" x14ac:dyDescent="0.2">
      <c r="A185" s="83" t="s">
        <v>505</v>
      </c>
      <c r="B185" t="s">
        <v>69</v>
      </c>
      <c r="C185">
        <v>1</v>
      </c>
      <c r="D185" s="298">
        <v>6</v>
      </c>
      <c r="E185">
        <v>1</v>
      </c>
      <c r="F185" s="65">
        <f>F$182*POWER(10,C185*E185/D185)</f>
        <v>1467.7992676220697</v>
      </c>
    </row>
    <row r="186" spans="1:6" x14ac:dyDescent="0.2">
      <c r="A186" s="83" t="s">
        <v>505</v>
      </c>
      <c r="B186" t="s">
        <v>176</v>
      </c>
      <c r="C186">
        <v>1</v>
      </c>
      <c r="D186" s="298">
        <v>6</v>
      </c>
      <c r="E186">
        <v>-1</v>
      </c>
      <c r="F186" s="65">
        <f>F$189*POWER(10,C186*E186/D186)</f>
        <v>102.19381035869419</v>
      </c>
    </row>
    <row r="187" spans="1:6" x14ac:dyDescent="0.2">
      <c r="A187" s="83" t="s">
        <v>505</v>
      </c>
      <c r="B187" t="s">
        <v>177</v>
      </c>
      <c r="C187">
        <v>1</v>
      </c>
      <c r="D187" s="298">
        <v>6</v>
      </c>
      <c r="E187">
        <v>-0.52</v>
      </c>
      <c r="F187" s="65">
        <f>F$189*POWER(10,C187*E187/D187)</f>
        <v>122.86398363229458</v>
      </c>
    </row>
    <row r="188" spans="1:6" x14ac:dyDescent="0.2">
      <c r="A188" s="83" t="s">
        <v>505</v>
      </c>
      <c r="B188" t="s">
        <v>178</v>
      </c>
      <c r="C188">
        <v>1</v>
      </c>
      <c r="D188" s="298">
        <v>6</v>
      </c>
      <c r="E188">
        <v>-0.25</v>
      </c>
      <c r="F188" s="65">
        <f>F$189*POWER(10,C188*E188/D188)</f>
        <v>136.27763634775303</v>
      </c>
    </row>
    <row r="189" spans="1:6" x14ac:dyDescent="0.2">
      <c r="A189" s="83" t="s">
        <v>505</v>
      </c>
      <c r="B189" t="s">
        <v>179</v>
      </c>
      <c r="C189">
        <v>1</v>
      </c>
      <c r="D189" s="298">
        <v>6</v>
      </c>
      <c r="F189" s="66">
        <v>150</v>
      </c>
    </row>
    <row r="190" spans="1:6" x14ac:dyDescent="0.2">
      <c r="A190" s="83" t="s">
        <v>505</v>
      </c>
      <c r="B190" t="s">
        <v>180</v>
      </c>
      <c r="C190">
        <v>1</v>
      </c>
      <c r="D190" s="298">
        <v>6</v>
      </c>
      <c r="E190">
        <v>0.25</v>
      </c>
      <c r="F190" s="65">
        <f>F$189*POWER(10,C190*E190/D190)</f>
        <v>165.10412568783144</v>
      </c>
    </row>
    <row r="191" spans="1:6" x14ac:dyDescent="0.2">
      <c r="A191" s="83" t="s">
        <v>505</v>
      </c>
      <c r="B191" t="s">
        <v>181</v>
      </c>
      <c r="C191">
        <v>1</v>
      </c>
      <c r="D191" s="298">
        <v>6</v>
      </c>
      <c r="E191">
        <v>0.52</v>
      </c>
      <c r="F191" s="65">
        <f>F$189*POWER(10,C191*E191/D191)</f>
        <v>183.12933810886068</v>
      </c>
    </row>
    <row r="192" spans="1:6" x14ac:dyDescent="0.2">
      <c r="A192" s="83" t="s">
        <v>505</v>
      </c>
      <c r="B192" t="s">
        <v>182</v>
      </c>
      <c r="C192">
        <v>1</v>
      </c>
      <c r="D192" s="298">
        <v>6</v>
      </c>
      <c r="E192">
        <v>1</v>
      </c>
      <c r="F192" s="65">
        <f>F$189*POWER(10,C192*E192/D192)</f>
        <v>220.16989014331045</v>
      </c>
    </row>
    <row r="193" spans="1:6" x14ac:dyDescent="0.2">
      <c r="A193" s="83" t="s">
        <v>506</v>
      </c>
      <c r="B193" t="s">
        <v>57</v>
      </c>
      <c r="C193">
        <v>1</v>
      </c>
      <c r="D193" s="299">
        <v>5</v>
      </c>
      <c r="E193">
        <v>-1</v>
      </c>
      <c r="F193" s="65">
        <f>F$154*POWER(10,C193*E193/D193)</f>
        <v>1892.8720334405798</v>
      </c>
    </row>
    <row r="194" spans="1:6" x14ac:dyDescent="0.2">
      <c r="A194" s="83" t="s">
        <v>506</v>
      </c>
      <c r="B194" t="s">
        <v>58</v>
      </c>
      <c r="C194">
        <v>1</v>
      </c>
      <c r="D194" s="299">
        <v>5</v>
      </c>
      <c r="E194">
        <v>-0.52</v>
      </c>
      <c r="F194" s="65">
        <f>F$154*POWER(10,C194*E194/D194)</f>
        <v>2361.1373690852956</v>
      </c>
    </row>
    <row r="195" spans="1:6" x14ac:dyDescent="0.2">
      <c r="A195" s="83" t="s">
        <v>506</v>
      </c>
      <c r="B195" t="s">
        <v>59</v>
      </c>
      <c r="C195">
        <v>1</v>
      </c>
      <c r="D195" s="299">
        <v>5</v>
      </c>
      <c r="E195">
        <v>-0.25</v>
      </c>
      <c r="F195" s="65">
        <f>F$154*POWER(10,C195*E195/D195)</f>
        <v>2673.7528144012363</v>
      </c>
    </row>
    <row r="196" spans="1:6" x14ac:dyDescent="0.2">
      <c r="A196" s="83" t="s">
        <v>506</v>
      </c>
      <c r="B196" t="s">
        <v>60</v>
      </c>
      <c r="C196">
        <v>1</v>
      </c>
      <c r="D196" s="299">
        <v>5</v>
      </c>
      <c r="F196" s="66">
        <v>3000</v>
      </c>
    </row>
    <row r="197" spans="1:6" x14ac:dyDescent="0.2">
      <c r="A197" s="83" t="s">
        <v>506</v>
      </c>
      <c r="B197" t="s">
        <v>61</v>
      </c>
      <c r="C197">
        <v>1</v>
      </c>
      <c r="D197" s="299">
        <v>5</v>
      </c>
      <c r="E197">
        <v>0.25</v>
      </c>
      <c r="F197" s="65">
        <f>F$154*POWER(10,C197*E197/D197)</f>
        <v>3366.0553629058909</v>
      </c>
    </row>
    <row r="198" spans="1:6" x14ac:dyDescent="0.2">
      <c r="A198" s="83" t="s">
        <v>506</v>
      </c>
      <c r="B198" t="s">
        <v>62</v>
      </c>
      <c r="C198">
        <v>1</v>
      </c>
      <c r="D198" s="299">
        <v>5</v>
      </c>
      <c r="E198">
        <v>0.52</v>
      </c>
      <c r="F198" s="65">
        <f>F$154*POWER(10,C198*E198/D198)</f>
        <v>3811.7223156256255</v>
      </c>
    </row>
    <row r="199" spans="1:6" x14ac:dyDescent="0.2">
      <c r="A199" s="83" t="s">
        <v>506</v>
      </c>
      <c r="B199" t="s">
        <v>63</v>
      </c>
      <c r="C199">
        <v>1</v>
      </c>
      <c r="D199" s="299">
        <v>5</v>
      </c>
      <c r="E199">
        <v>1</v>
      </c>
      <c r="F199" s="65">
        <f>F$154*POWER(10,C199*E199/D199)</f>
        <v>4754.679577383341</v>
      </c>
    </row>
    <row r="200" spans="1:6" x14ac:dyDescent="0.2">
      <c r="A200" s="83" t="s">
        <v>506</v>
      </c>
      <c r="B200" t="s">
        <v>70</v>
      </c>
      <c r="C200">
        <v>1</v>
      </c>
      <c r="D200" s="299">
        <v>5</v>
      </c>
      <c r="E200">
        <v>-1</v>
      </c>
      <c r="F200" s="65">
        <f>F$161*POWER(10,C200*E200/D200)</f>
        <v>1261.9146889603865</v>
      </c>
    </row>
    <row r="201" spans="1:6" x14ac:dyDescent="0.2">
      <c r="A201" s="83" t="s">
        <v>506</v>
      </c>
      <c r="B201" t="s">
        <v>64</v>
      </c>
      <c r="C201">
        <v>1</v>
      </c>
      <c r="D201" s="299">
        <v>5</v>
      </c>
      <c r="E201">
        <v>-0.52</v>
      </c>
      <c r="F201" s="65">
        <f>F$161*POWER(10,C201*E201/D201)</f>
        <v>1574.091579390197</v>
      </c>
    </row>
    <row r="202" spans="1:6" x14ac:dyDescent="0.2">
      <c r="A202" s="83" t="s">
        <v>506</v>
      </c>
      <c r="B202" t="s">
        <v>65</v>
      </c>
      <c r="C202">
        <v>1</v>
      </c>
      <c r="D202" s="299">
        <v>5</v>
      </c>
      <c r="E202">
        <v>-0.25</v>
      </c>
      <c r="F202" s="65">
        <f>F$161*POWER(10,C202*E202/D202)</f>
        <v>1782.5018762674908</v>
      </c>
    </row>
    <row r="203" spans="1:6" x14ac:dyDescent="0.2">
      <c r="A203" s="83" t="s">
        <v>506</v>
      </c>
      <c r="B203" t="s">
        <v>66</v>
      </c>
      <c r="C203">
        <v>1</v>
      </c>
      <c r="D203" s="299">
        <v>5</v>
      </c>
      <c r="F203" s="66">
        <v>2000</v>
      </c>
    </row>
    <row r="204" spans="1:6" x14ac:dyDescent="0.2">
      <c r="A204" s="83" t="s">
        <v>506</v>
      </c>
      <c r="B204" t="s">
        <v>67</v>
      </c>
      <c r="C204">
        <v>1</v>
      </c>
      <c r="D204" s="299">
        <v>5</v>
      </c>
      <c r="E204">
        <v>0.25</v>
      </c>
      <c r="F204" s="65">
        <f>F$161*POWER(10,C204*E204/D204)</f>
        <v>2244.0369086039273</v>
      </c>
    </row>
    <row r="205" spans="1:6" x14ac:dyDescent="0.2">
      <c r="A205" s="83" t="s">
        <v>506</v>
      </c>
      <c r="B205" t="s">
        <v>68</v>
      </c>
      <c r="C205">
        <v>1</v>
      </c>
      <c r="D205" s="299">
        <v>5</v>
      </c>
      <c r="E205">
        <v>0.52</v>
      </c>
      <c r="F205" s="65">
        <f>F$161*POWER(10,C205*E205/D205)</f>
        <v>2541.1482104170836</v>
      </c>
    </row>
    <row r="206" spans="1:6" x14ac:dyDescent="0.2">
      <c r="A206" s="83" t="s">
        <v>506</v>
      </c>
      <c r="B206" t="s">
        <v>69</v>
      </c>
      <c r="C206">
        <v>1</v>
      </c>
      <c r="D206" s="299">
        <v>5</v>
      </c>
      <c r="E206">
        <v>1</v>
      </c>
      <c r="F206" s="65">
        <f>F$161*POWER(10,C206*E206/D206)</f>
        <v>3169.7863849222272</v>
      </c>
    </row>
    <row r="207" spans="1:6" x14ac:dyDescent="0.2">
      <c r="A207" s="83" t="s">
        <v>506</v>
      </c>
      <c r="B207" t="s">
        <v>176</v>
      </c>
      <c r="C207">
        <v>1</v>
      </c>
      <c r="D207" s="299">
        <v>6</v>
      </c>
      <c r="E207">
        <v>-1</v>
      </c>
      <c r="F207" s="65">
        <f>F$168*POWER(10,C207*E207/D207)</f>
        <v>204.38762071738839</v>
      </c>
    </row>
    <row r="208" spans="1:6" x14ac:dyDescent="0.2">
      <c r="A208" s="83" t="s">
        <v>506</v>
      </c>
      <c r="B208" t="s">
        <v>177</v>
      </c>
      <c r="C208">
        <v>1</v>
      </c>
      <c r="D208" s="299">
        <v>6</v>
      </c>
      <c r="E208">
        <v>-0.52</v>
      </c>
      <c r="F208" s="65">
        <f>F$168*POWER(10,C208*E208/D208)</f>
        <v>245.72796726458915</v>
      </c>
    </row>
    <row r="209" spans="1:6" x14ac:dyDescent="0.2">
      <c r="A209" s="83" t="s">
        <v>506</v>
      </c>
      <c r="B209" t="s">
        <v>178</v>
      </c>
      <c r="C209">
        <v>1</v>
      </c>
      <c r="D209" s="299">
        <v>6</v>
      </c>
      <c r="E209">
        <v>-0.25</v>
      </c>
      <c r="F209" s="65">
        <f>F$168*POWER(10,C209*E209/D209)</f>
        <v>272.55527269550606</v>
      </c>
    </row>
    <row r="210" spans="1:6" x14ac:dyDescent="0.2">
      <c r="A210" s="83" t="s">
        <v>506</v>
      </c>
      <c r="B210" t="s">
        <v>179</v>
      </c>
      <c r="C210">
        <v>1</v>
      </c>
      <c r="D210" s="299">
        <v>6</v>
      </c>
      <c r="F210" s="66">
        <v>300</v>
      </c>
    </row>
    <row r="211" spans="1:6" x14ac:dyDescent="0.2">
      <c r="A211" s="83" t="s">
        <v>506</v>
      </c>
      <c r="B211" t="s">
        <v>180</v>
      </c>
      <c r="C211">
        <v>1</v>
      </c>
      <c r="D211" s="299">
        <v>6</v>
      </c>
      <c r="E211">
        <v>0.25</v>
      </c>
      <c r="F211" s="65">
        <f>F$168*POWER(10,C211*E211/D211)</f>
        <v>330.20825137566288</v>
      </c>
    </row>
    <row r="212" spans="1:6" x14ac:dyDescent="0.2">
      <c r="A212" s="83" t="s">
        <v>506</v>
      </c>
      <c r="B212" t="s">
        <v>181</v>
      </c>
      <c r="C212">
        <v>1</v>
      </c>
      <c r="D212" s="299">
        <v>6</v>
      </c>
      <c r="E212">
        <v>0.52</v>
      </c>
      <c r="F212" s="65">
        <f>F$168*POWER(10,C212*E212/D212)</f>
        <v>366.25867621772136</v>
      </c>
    </row>
    <row r="213" spans="1:6" x14ac:dyDescent="0.2">
      <c r="A213" s="83" t="s">
        <v>506</v>
      </c>
      <c r="B213" t="s">
        <v>182</v>
      </c>
      <c r="C213">
        <v>1</v>
      </c>
      <c r="D213" s="299">
        <v>6</v>
      </c>
      <c r="E213">
        <v>1</v>
      </c>
      <c r="F213" s="65">
        <f>F$168*POWER(10,C213*E213/D213)</f>
        <v>440.33978028662091</v>
      </c>
    </row>
    <row r="214" spans="1:6" x14ac:dyDescent="0.2">
      <c r="A214" s="83" t="s">
        <v>507</v>
      </c>
      <c r="B214" t="s">
        <v>57</v>
      </c>
      <c r="C214">
        <v>1</v>
      </c>
      <c r="D214" s="299">
        <v>5</v>
      </c>
      <c r="E214">
        <v>-1</v>
      </c>
      <c r="F214" s="65">
        <f>F$175*POWER(10,C214*E214/D214)</f>
        <v>946.4360167202899</v>
      </c>
    </row>
    <row r="215" spans="1:6" x14ac:dyDescent="0.2">
      <c r="A215" s="83" t="s">
        <v>507</v>
      </c>
      <c r="B215" t="s">
        <v>58</v>
      </c>
      <c r="C215">
        <v>1</v>
      </c>
      <c r="D215" s="299">
        <v>5</v>
      </c>
      <c r="E215">
        <v>-0.52</v>
      </c>
      <c r="F215" s="65">
        <f>F$175*POWER(10,C215*E215/D215)</f>
        <v>1180.5686845426478</v>
      </c>
    </row>
    <row r="216" spans="1:6" x14ac:dyDescent="0.2">
      <c r="A216" s="83" t="s">
        <v>507</v>
      </c>
      <c r="B216" t="s">
        <v>59</v>
      </c>
      <c r="C216">
        <v>1</v>
      </c>
      <c r="D216" s="299">
        <v>5</v>
      </c>
      <c r="E216">
        <v>-0.25</v>
      </c>
      <c r="F216" s="65">
        <f>F$175*POWER(10,C216*E216/D216)</f>
        <v>1336.8764072006181</v>
      </c>
    </row>
    <row r="217" spans="1:6" x14ac:dyDescent="0.2">
      <c r="A217" s="83" t="s">
        <v>507</v>
      </c>
      <c r="B217" t="s">
        <v>60</v>
      </c>
      <c r="C217">
        <v>1</v>
      </c>
      <c r="D217" s="299">
        <v>5</v>
      </c>
      <c r="F217" s="66">
        <v>1500</v>
      </c>
    </row>
    <row r="218" spans="1:6" x14ac:dyDescent="0.2">
      <c r="A218" s="83" t="s">
        <v>507</v>
      </c>
      <c r="B218" t="s">
        <v>61</v>
      </c>
      <c r="C218">
        <v>1</v>
      </c>
      <c r="D218" s="299">
        <v>5</v>
      </c>
      <c r="E218">
        <v>0.25</v>
      </c>
      <c r="F218" s="65">
        <f>F$175*POWER(10,C218*E218/D218)</f>
        <v>1683.0276814529454</v>
      </c>
    </row>
    <row r="219" spans="1:6" x14ac:dyDescent="0.2">
      <c r="A219" s="83" t="s">
        <v>507</v>
      </c>
      <c r="B219" t="s">
        <v>62</v>
      </c>
      <c r="C219">
        <v>1</v>
      </c>
      <c r="D219" s="299">
        <v>5</v>
      </c>
      <c r="E219">
        <v>0.52</v>
      </c>
      <c r="F219" s="65">
        <f>F$175*POWER(10,C219*E219/D219)</f>
        <v>1905.8611578128127</v>
      </c>
    </row>
    <row r="220" spans="1:6" x14ac:dyDescent="0.2">
      <c r="A220" s="83" t="s">
        <v>507</v>
      </c>
      <c r="B220" t="s">
        <v>63</v>
      </c>
      <c r="C220">
        <v>1</v>
      </c>
      <c r="D220" s="299">
        <v>5</v>
      </c>
      <c r="E220">
        <v>1</v>
      </c>
      <c r="F220" s="65">
        <f>F$175*POWER(10,C220*E220/D220)</f>
        <v>2377.3397886916705</v>
      </c>
    </row>
    <row r="221" spans="1:6" x14ac:dyDescent="0.2">
      <c r="A221" s="83" t="s">
        <v>507</v>
      </c>
      <c r="B221" t="s">
        <v>70</v>
      </c>
      <c r="C221">
        <v>1</v>
      </c>
      <c r="D221" s="299">
        <v>5</v>
      </c>
      <c r="E221">
        <v>-1</v>
      </c>
      <c r="F221" s="65">
        <f>F$182*POWER(10,C221*E221/D221)</f>
        <v>630.95734448019323</v>
      </c>
    </row>
    <row r="222" spans="1:6" x14ac:dyDescent="0.2">
      <c r="A222" s="83" t="s">
        <v>507</v>
      </c>
      <c r="B222" t="s">
        <v>64</v>
      </c>
      <c r="C222">
        <v>1</v>
      </c>
      <c r="D222" s="299">
        <v>5</v>
      </c>
      <c r="E222">
        <v>-0.52</v>
      </c>
      <c r="F222" s="65">
        <f>F$182*POWER(10,C222*E222/D222)</f>
        <v>787.04578969509851</v>
      </c>
    </row>
    <row r="223" spans="1:6" x14ac:dyDescent="0.2">
      <c r="A223" s="83" t="s">
        <v>507</v>
      </c>
      <c r="B223" t="s">
        <v>65</v>
      </c>
      <c r="C223">
        <v>1</v>
      </c>
      <c r="D223" s="299">
        <v>5</v>
      </c>
      <c r="E223">
        <v>-0.25</v>
      </c>
      <c r="F223" s="65">
        <f>F$182*POWER(10,C223*E223/D223)</f>
        <v>891.25093813374542</v>
      </c>
    </row>
    <row r="224" spans="1:6" x14ac:dyDescent="0.2">
      <c r="A224" s="83" t="s">
        <v>507</v>
      </c>
      <c r="B224" t="s">
        <v>66</v>
      </c>
      <c r="C224">
        <v>1</v>
      </c>
      <c r="D224" s="299">
        <v>5</v>
      </c>
      <c r="F224" s="66">
        <v>1000</v>
      </c>
    </row>
    <row r="225" spans="1:6" x14ac:dyDescent="0.2">
      <c r="A225" s="83" t="s">
        <v>507</v>
      </c>
      <c r="B225" t="s">
        <v>67</v>
      </c>
      <c r="C225">
        <v>1</v>
      </c>
      <c r="D225" s="299">
        <v>5</v>
      </c>
      <c r="E225">
        <v>0.25</v>
      </c>
      <c r="F225" s="65">
        <f>F$182*POWER(10,C225*E225/D225)</f>
        <v>1122.0184543019636</v>
      </c>
    </row>
    <row r="226" spans="1:6" x14ac:dyDescent="0.2">
      <c r="A226" s="83" t="s">
        <v>507</v>
      </c>
      <c r="B226" t="s">
        <v>68</v>
      </c>
      <c r="C226">
        <v>1</v>
      </c>
      <c r="D226" s="299">
        <v>5</v>
      </c>
      <c r="E226">
        <v>0.52</v>
      </c>
      <c r="F226" s="65">
        <f>F$182*POWER(10,C226*E226/D226)</f>
        <v>1270.5741052085418</v>
      </c>
    </row>
    <row r="227" spans="1:6" x14ac:dyDescent="0.2">
      <c r="A227" s="83" t="s">
        <v>507</v>
      </c>
      <c r="B227" t="s">
        <v>69</v>
      </c>
      <c r="C227">
        <v>1</v>
      </c>
      <c r="D227" s="299">
        <v>5</v>
      </c>
      <c r="E227">
        <v>1</v>
      </c>
      <c r="F227" s="65">
        <f>F$182*POWER(10,C227*E227/D227)</f>
        <v>1584.8931924611136</v>
      </c>
    </row>
    <row r="228" spans="1:6" x14ac:dyDescent="0.2">
      <c r="A228" s="83" t="s">
        <v>507</v>
      </c>
      <c r="B228" t="s">
        <v>176</v>
      </c>
      <c r="C228">
        <v>1</v>
      </c>
      <c r="D228" s="299">
        <v>6</v>
      </c>
      <c r="E228">
        <v>-1</v>
      </c>
      <c r="F228" s="65">
        <f>F$189*POWER(10,C228*E228/D228)</f>
        <v>102.19381035869419</v>
      </c>
    </row>
    <row r="229" spans="1:6" x14ac:dyDescent="0.2">
      <c r="A229" s="83" t="s">
        <v>507</v>
      </c>
      <c r="B229" t="s">
        <v>177</v>
      </c>
      <c r="C229">
        <v>1</v>
      </c>
      <c r="D229" s="299">
        <v>6</v>
      </c>
      <c r="E229">
        <v>-0.52</v>
      </c>
      <c r="F229" s="65">
        <f>F$189*POWER(10,C229*E229/D229)</f>
        <v>122.86398363229458</v>
      </c>
    </row>
    <row r="230" spans="1:6" x14ac:dyDescent="0.2">
      <c r="A230" s="83" t="s">
        <v>507</v>
      </c>
      <c r="B230" t="s">
        <v>178</v>
      </c>
      <c r="C230">
        <v>1</v>
      </c>
      <c r="D230" s="299">
        <v>6</v>
      </c>
      <c r="E230">
        <v>-0.25</v>
      </c>
      <c r="F230" s="65">
        <f>F$189*POWER(10,C230*E230/D230)</f>
        <v>136.27763634775303</v>
      </c>
    </row>
    <row r="231" spans="1:6" x14ac:dyDescent="0.2">
      <c r="A231" s="83" t="s">
        <v>507</v>
      </c>
      <c r="B231" t="s">
        <v>179</v>
      </c>
      <c r="C231">
        <v>1</v>
      </c>
      <c r="D231" s="299">
        <v>6</v>
      </c>
      <c r="F231" s="66">
        <v>150</v>
      </c>
    </row>
    <row r="232" spans="1:6" x14ac:dyDescent="0.2">
      <c r="A232" s="83" t="s">
        <v>507</v>
      </c>
      <c r="B232" t="s">
        <v>180</v>
      </c>
      <c r="C232">
        <v>1</v>
      </c>
      <c r="D232" s="299">
        <v>6</v>
      </c>
      <c r="E232">
        <v>0.25</v>
      </c>
      <c r="F232" s="65">
        <f>F$189*POWER(10,C232*E232/D232)</f>
        <v>165.10412568783144</v>
      </c>
    </row>
    <row r="233" spans="1:6" x14ac:dyDescent="0.2">
      <c r="A233" s="83" t="s">
        <v>507</v>
      </c>
      <c r="B233" t="s">
        <v>181</v>
      </c>
      <c r="C233">
        <v>1</v>
      </c>
      <c r="D233" s="299">
        <v>6</v>
      </c>
      <c r="E233">
        <v>0.52</v>
      </c>
      <c r="F233" s="65">
        <f>F$189*POWER(10,C233*E233/D233)</f>
        <v>183.12933810886068</v>
      </c>
    </row>
    <row r="234" spans="1:6" x14ac:dyDescent="0.2">
      <c r="A234" s="83" t="s">
        <v>507</v>
      </c>
      <c r="B234" t="s">
        <v>182</v>
      </c>
      <c r="C234">
        <v>1</v>
      </c>
      <c r="D234" s="299">
        <v>6</v>
      </c>
      <c r="E234">
        <v>1</v>
      </c>
      <c r="F234" s="65">
        <f>F$189*POWER(10,C234*E234/D234)</f>
        <v>220.16989014331045</v>
      </c>
    </row>
    <row r="235" spans="1:6" x14ac:dyDescent="0.2">
      <c r="A235" s="6" t="s">
        <v>80</v>
      </c>
      <c r="B235" t="s">
        <v>57</v>
      </c>
      <c r="C235">
        <v>1.25</v>
      </c>
      <c r="D235">
        <v>12</v>
      </c>
      <c r="E235">
        <v>-1</v>
      </c>
      <c r="F235" s="65">
        <f>F238*POWER(10,C235*E235/D235)</f>
        <v>56.330856628451698</v>
      </c>
    </row>
    <row r="236" spans="1:6" x14ac:dyDescent="0.2">
      <c r="A236" s="6" t="s">
        <v>80</v>
      </c>
      <c r="B236" t="s">
        <v>58</v>
      </c>
      <c r="C236">
        <v>1.25</v>
      </c>
      <c r="D236">
        <v>12</v>
      </c>
      <c r="E236" s="3">
        <v>-0.52</v>
      </c>
      <c r="F236" s="65">
        <f>F238*POWER(10,C236*E236/D236)</f>
        <v>63.204260683760879</v>
      </c>
    </row>
    <row r="237" spans="1:6" x14ac:dyDescent="0.2">
      <c r="A237" s="6" t="s">
        <v>80</v>
      </c>
      <c r="B237" t="s">
        <v>59</v>
      </c>
      <c r="C237">
        <v>1.25</v>
      </c>
      <c r="D237">
        <v>12</v>
      </c>
      <c r="E237" s="3">
        <v>-0.25</v>
      </c>
      <c r="F237" s="65">
        <f>F238*POWER(10,C237*E237/D237)</f>
        <v>67.432825224920677</v>
      </c>
    </row>
    <row r="238" spans="1:6" x14ac:dyDescent="0.2">
      <c r="A238" s="6" t="s">
        <v>80</v>
      </c>
      <c r="B238" t="s">
        <v>60</v>
      </c>
      <c r="E238" s="3"/>
      <c r="F238" s="66">
        <v>71.599999999999994</v>
      </c>
    </row>
    <row r="239" spans="1:6" x14ac:dyDescent="0.2">
      <c r="A239" s="6" t="s">
        <v>80</v>
      </c>
      <c r="B239" t="s">
        <v>61</v>
      </c>
      <c r="C239">
        <v>1.25</v>
      </c>
      <c r="D239">
        <v>12</v>
      </c>
      <c r="E239" s="3">
        <v>0.25</v>
      </c>
      <c r="F239" s="65">
        <f>F238*POWER(10,C239*E239/D239)</f>
        <v>76.024695434315149</v>
      </c>
    </row>
    <row r="240" spans="1:6" x14ac:dyDescent="0.2">
      <c r="A240" s="6" t="s">
        <v>80</v>
      </c>
      <c r="B240" t="s">
        <v>62</v>
      </c>
      <c r="C240">
        <v>1.25</v>
      </c>
      <c r="D240">
        <v>12</v>
      </c>
      <c r="E240" s="3">
        <v>0.52</v>
      </c>
      <c r="F240" s="65">
        <f>F238*POWER(10,C240*E240/D240)</f>
        <v>81.11098752741475</v>
      </c>
    </row>
    <row r="241" spans="1:6" x14ac:dyDescent="0.2">
      <c r="A241" s="6" t="s">
        <v>80</v>
      </c>
      <c r="B241" t="s">
        <v>63</v>
      </c>
      <c r="C241">
        <v>1.25</v>
      </c>
      <c r="D241">
        <v>12</v>
      </c>
      <c r="E241">
        <v>1</v>
      </c>
      <c r="F241" s="65">
        <f>F238*POWER(10,C241*E241/D241)</f>
        <v>91.00802485241573</v>
      </c>
    </row>
    <row r="242" spans="1:6" x14ac:dyDescent="0.2">
      <c r="A242" s="6" t="s">
        <v>80</v>
      </c>
      <c r="B242" t="s">
        <v>70</v>
      </c>
      <c r="C242">
        <v>1.25</v>
      </c>
      <c r="D242">
        <v>12</v>
      </c>
      <c r="E242">
        <v>-1</v>
      </c>
      <c r="F242" s="65">
        <f>F245*POWER(10,C242*E242/D242)</f>
        <v>36.976958960017178</v>
      </c>
    </row>
    <row r="243" spans="1:6" x14ac:dyDescent="0.2">
      <c r="A243" s="6" t="s">
        <v>80</v>
      </c>
      <c r="B243" t="s">
        <v>64</v>
      </c>
      <c r="C243">
        <v>1.25</v>
      </c>
      <c r="D243">
        <v>12</v>
      </c>
      <c r="E243" s="3">
        <v>-0.52</v>
      </c>
      <c r="F243" s="65">
        <f>F245*POWER(10,C243*E243/D243)</f>
        <v>41.488830337105611</v>
      </c>
    </row>
    <row r="244" spans="1:6" x14ac:dyDescent="0.2">
      <c r="A244" s="6" t="s">
        <v>80</v>
      </c>
      <c r="B244" t="s">
        <v>65</v>
      </c>
      <c r="C244">
        <v>1.25</v>
      </c>
      <c r="D244">
        <v>12</v>
      </c>
      <c r="E244" s="3">
        <v>-0.25</v>
      </c>
      <c r="F244" s="65">
        <f>F245*POWER(10,C244*E244/D244)</f>
        <v>44.264564044291511</v>
      </c>
    </row>
    <row r="245" spans="1:6" x14ac:dyDescent="0.2">
      <c r="A245" s="6" t="s">
        <v>80</v>
      </c>
      <c r="B245" t="s">
        <v>66</v>
      </c>
      <c r="E245" s="3"/>
      <c r="F245" s="66">
        <v>47</v>
      </c>
    </row>
    <row r="246" spans="1:6" x14ac:dyDescent="0.2">
      <c r="A246" s="6" t="s">
        <v>80</v>
      </c>
      <c r="B246" t="s">
        <v>67</v>
      </c>
      <c r="C246">
        <v>1.25</v>
      </c>
      <c r="D246">
        <v>12</v>
      </c>
      <c r="E246" s="3">
        <v>0.25</v>
      </c>
      <c r="F246" s="65">
        <f>F245*POWER(10,C246*E246/D246)</f>
        <v>49.904478846547661</v>
      </c>
    </row>
    <row r="247" spans="1:6" x14ac:dyDescent="0.2">
      <c r="A247" s="6" t="s">
        <v>80</v>
      </c>
      <c r="B247" t="s">
        <v>68</v>
      </c>
      <c r="C247">
        <v>1.25</v>
      </c>
      <c r="D247">
        <v>12</v>
      </c>
      <c r="E247" s="3">
        <v>0.52</v>
      </c>
      <c r="F247" s="65">
        <f>F245*POWER(10,C247*E247/D247)</f>
        <v>53.243246002632596</v>
      </c>
    </row>
    <row r="248" spans="1:6" x14ac:dyDescent="0.2">
      <c r="A248" s="6" t="s">
        <v>80</v>
      </c>
      <c r="B248" t="s">
        <v>69</v>
      </c>
      <c r="C248">
        <v>1.25</v>
      </c>
      <c r="D248">
        <v>12</v>
      </c>
      <c r="E248">
        <v>1</v>
      </c>
      <c r="F248" s="65">
        <f>F245*POWER(10,C248*E248/D248)</f>
        <v>59.739904581893008</v>
      </c>
    </row>
    <row r="249" spans="1:6" x14ac:dyDescent="0.2">
      <c r="A249" s="6" t="s">
        <v>80</v>
      </c>
      <c r="B249" t="s">
        <v>77</v>
      </c>
      <c r="C249">
        <v>1.4</v>
      </c>
      <c r="D249">
        <v>10</v>
      </c>
      <c r="E249">
        <v>-1</v>
      </c>
      <c r="F249" s="65">
        <f>F252*POWER(10,C249*E249/D249)</f>
        <v>5.7954876805999207E-2</v>
      </c>
    </row>
    <row r="250" spans="1:6" x14ac:dyDescent="0.2">
      <c r="A250" s="6" t="s">
        <v>80</v>
      </c>
      <c r="B250" t="s">
        <v>71</v>
      </c>
      <c r="C250">
        <v>1.4</v>
      </c>
      <c r="D250">
        <v>10</v>
      </c>
      <c r="E250" s="3">
        <v>-0.52</v>
      </c>
      <c r="F250" s="65">
        <f>F252*POWER(10,C250*E250/D250)</f>
        <v>6.7653456007948365E-2</v>
      </c>
    </row>
    <row r="251" spans="1:6" x14ac:dyDescent="0.2">
      <c r="A251" s="6" t="s">
        <v>80</v>
      </c>
      <c r="B251" t="s">
        <v>72</v>
      </c>
      <c r="C251">
        <v>1.4</v>
      </c>
      <c r="D251">
        <v>10</v>
      </c>
      <c r="E251" s="3">
        <v>-0.25</v>
      </c>
      <c r="F251" s="65">
        <f>F252*POWER(10,C251*E251/D251)</f>
        <v>7.3805714172381048E-2</v>
      </c>
    </row>
    <row r="252" spans="1:6" x14ac:dyDescent="0.2">
      <c r="A252" s="6" t="s">
        <v>80</v>
      </c>
      <c r="B252" t="s">
        <v>73</v>
      </c>
      <c r="E252" s="3"/>
      <c r="F252" s="66">
        <v>0.08</v>
      </c>
    </row>
    <row r="253" spans="1:6" x14ac:dyDescent="0.2">
      <c r="A253" s="6" t="s">
        <v>80</v>
      </c>
      <c r="B253" t="s">
        <v>74</v>
      </c>
      <c r="C253">
        <v>1.4</v>
      </c>
      <c r="D253">
        <v>10</v>
      </c>
      <c r="E253" s="3">
        <v>0.25</v>
      </c>
      <c r="F253" s="65">
        <f>F252*POWER(10,C253*E253/D253)</f>
        <v>8.671415312169628E-2</v>
      </c>
    </row>
    <row r="254" spans="1:6" x14ac:dyDescent="0.2">
      <c r="A254" s="6" t="s">
        <v>80</v>
      </c>
      <c r="B254" t="s">
        <v>75</v>
      </c>
      <c r="C254">
        <v>1.4</v>
      </c>
      <c r="D254">
        <v>10</v>
      </c>
      <c r="E254" s="3">
        <v>0.52</v>
      </c>
      <c r="F254" s="65">
        <f>F252*POWER(10,C254*E254/D254)</f>
        <v>9.4599749630648391E-2</v>
      </c>
    </row>
    <row r="255" spans="1:6" x14ac:dyDescent="0.2">
      <c r="A255" s="6" t="s">
        <v>80</v>
      </c>
      <c r="B255" t="s">
        <v>76</v>
      </c>
      <c r="C255">
        <v>1.4</v>
      </c>
      <c r="D255">
        <v>10</v>
      </c>
      <c r="E255">
        <v>1</v>
      </c>
      <c r="F255" s="65">
        <f>F252*POWER(10,C255*E255/D255)</f>
        <v>0.11043074116823079</v>
      </c>
    </row>
    <row r="256" spans="1:6" x14ac:dyDescent="0.2">
      <c r="A256" s="6" t="s">
        <v>81</v>
      </c>
      <c r="B256" t="s">
        <v>57</v>
      </c>
      <c r="C256">
        <v>1</v>
      </c>
      <c r="D256">
        <v>6</v>
      </c>
      <c r="E256">
        <v>-1</v>
      </c>
      <c r="F256" s="65">
        <f>F259*POWER(10,C256*E256/D256)</f>
        <v>10.219381035869418</v>
      </c>
    </row>
    <row r="257" spans="1:6" x14ac:dyDescent="0.2">
      <c r="A257" s="6" t="s">
        <v>81</v>
      </c>
      <c r="B257" t="s">
        <v>58</v>
      </c>
      <c r="C257">
        <v>1</v>
      </c>
      <c r="D257">
        <v>6</v>
      </c>
      <c r="E257" s="3">
        <v>-0.52</v>
      </c>
      <c r="F257" s="65">
        <f>F259*POWER(10,C257*E257/D257)</f>
        <v>12.286398363229457</v>
      </c>
    </row>
    <row r="258" spans="1:6" x14ac:dyDescent="0.2">
      <c r="A258" s="6" t="s">
        <v>81</v>
      </c>
      <c r="B258" t="s">
        <v>59</v>
      </c>
      <c r="C258">
        <v>1</v>
      </c>
      <c r="D258">
        <v>6</v>
      </c>
      <c r="E258" s="3">
        <v>-0.25</v>
      </c>
      <c r="F258" s="65">
        <f>F259*POWER(10,C258*E258/D258)</f>
        <v>13.627763634775302</v>
      </c>
    </row>
    <row r="259" spans="1:6" x14ac:dyDescent="0.2">
      <c r="A259" s="6" t="s">
        <v>81</v>
      </c>
      <c r="B259" t="s">
        <v>60</v>
      </c>
      <c r="E259" s="3"/>
      <c r="F259" s="66">
        <v>15</v>
      </c>
    </row>
    <row r="260" spans="1:6" x14ac:dyDescent="0.2">
      <c r="A260" s="6" t="s">
        <v>81</v>
      </c>
      <c r="B260" t="s">
        <v>61</v>
      </c>
      <c r="C260">
        <v>1</v>
      </c>
      <c r="D260">
        <v>6</v>
      </c>
      <c r="E260" s="3">
        <v>0.25</v>
      </c>
      <c r="F260" s="65">
        <f>F259*POWER(10,C260*E260/D260)</f>
        <v>16.510412568783146</v>
      </c>
    </row>
    <row r="261" spans="1:6" x14ac:dyDescent="0.2">
      <c r="A261" s="6" t="s">
        <v>81</v>
      </c>
      <c r="B261" t="s">
        <v>62</v>
      </c>
      <c r="C261">
        <v>1</v>
      </c>
      <c r="D261">
        <v>6</v>
      </c>
      <c r="E261" s="3">
        <v>0.52</v>
      </c>
      <c r="F261" s="65">
        <f>F259*POWER(10,C261*E261/D261)</f>
        <v>18.312933810886069</v>
      </c>
    </row>
    <row r="262" spans="1:6" x14ac:dyDescent="0.2">
      <c r="A262" s="6" t="s">
        <v>81</v>
      </c>
      <c r="B262" t="s">
        <v>63</v>
      </c>
      <c r="C262">
        <v>1</v>
      </c>
      <c r="D262">
        <v>6</v>
      </c>
      <c r="E262">
        <v>1</v>
      </c>
      <c r="F262" s="65">
        <f>F259*POWER(10,C262*E262/D262)</f>
        <v>22.016989014331045</v>
      </c>
    </row>
    <row r="263" spans="1:6" x14ac:dyDescent="0.2">
      <c r="A263" s="6" t="s">
        <v>81</v>
      </c>
      <c r="B263" t="s">
        <v>70</v>
      </c>
      <c r="C263">
        <v>1</v>
      </c>
      <c r="D263">
        <v>6</v>
      </c>
      <c r="E263">
        <v>-1</v>
      </c>
      <c r="F263" s="65">
        <f>F266*POWER(10,C263*E263/D263)</f>
        <v>6.8129206905796122</v>
      </c>
    </row>
    <row r="264" spans="1:6" x14ac:dyDescent="0.2">
      <c r="A264" s="6" t="s">
        <v>81</v>
      </c>
      <c r="B264" t="s">
        <v>64</v>
      </c>
      <c r="C264">
        <v>1</v>
      </c>
      <c r="D264">
        <v>6</v>
      </c>
      <c r="E264" s="3">
        <v>-0.52</v>
      </c>
      <c r="F264" s="65">
        <f>F266*POWER(10,C264*E264/D264)</f>
        <v>8.1909322421529716</v>
      </c>
    </row>
    <row r="265" spans="1:6" x14ac:dyDescent="0.2">
      <c r="A265" s="6" t="s">
        <v>81</v>
      </c>
      <c r="B265" t="s">
        <v>65</v>
      </c>
      <c r="C265">
        <v>1</v>
      </c>
      <c r="D265">
        <v>6</v>
      </c>
      <c r="E265" s="3">
        <v>-0.25</v>
      </c>
      <c r="F265" s="65">
        <f>F266*POWER(10,C265*E265/D265)</f>
        <v>9.0851757565168683</v>
      </c>
    </row>
    <row r="266" spans="1:6" x14ac:dyDescent="0.2">
      <c r="A266" s="6" t="s">
        <v>81</v>
      </c>
      <c r="B266" t="s">
        <v>66</v>
      </c>
      <c r="E266" s="3"/>
      <c r="F266" s="66">
        <v>10</v>
      </c>
    </row>
    <row r="267" spans="1:6" x14ac:dyDescent="0.2">
      <c r="A267" s="6" t="s">
        <v>81</v>
      </c>
      <c r="B267" t="s">
        <v>67</v>
      </c>
      <c r="C267">
        <v>1</v>
      </c>
      <c r="D267">
        <v>6</v>
      </c>
      <c r="E267" s="3">
        <v>0.25</v>
      </c>
      <c r="F267" s="65">
        <f>F266*POWER(10,C267*E267/D267)</f>
        <v>11.006941712522096</v>
      </c>
    </row>
    <row r="268" spans="1:6" x14ac:dyDescent="0.2">
      <c r="A268" s="6" t="s">
        <v>81</v>
      </c>
      <c r="B268" t="s">
        <v>68</v>
      </c>
      <c r="C268">
        <v>1</v>
      </c>
      <c r="D268">
        <v>6</v>
      </c>
      <c r="E268" s="3">
        <v>0.52</v>
      </c>
      <c r="F268" s="65">
        <f>F266*POWER(10,C268*E268/D268)</f>
        <v>12.208622540590712</v>
      </c>
    </row>
    <row r="269" spans="1:6" x14ac:dyDescent="0.2">
      <c r="A269" s="6" t="s">
        <v>81</v>
      </c>
      <c r="B269" t="s">
        <v>69</v>
      </c>
      <c r="C269">
        <v>1</v>
      </c>
      <c r="D269">
        <v>6</v>
      </c>
      <c r="E269">
        <v>1</v>
      </c>
      <c r="F269" s="65">
        <f>F266*POWER(10,C269*E269/D269)</f>
        <v>14.677992676220697</v>
      </c>
    </row>
    <row r="270" spans="1:6" x14ac:dyDescent="0.2">
      <c r="A270" s="6" t="s">
        <v>81</v>
      </c>
      <c r="B270" t="s">
        <v>77</v>
      </c>
      <c r="C270">
        <v>1</v>
      </c>
      <c r="D270">
        <v>4</v>
      </c>
      <c r="E270">
        <v>-1</v>
      </c>
      <c r="F270" s="65">
        <f>F273*POWER(10,C270*E270/D270)</f>
        <v>5.6234132519034911E-2</v>
      </c>
    </row>
    <row r="271" spans="1:6" x14ac:dyDescent="0.2">
      <c r="A271" s="6" t="s">
        <v>81</v>
      </c>
      <c r="B271" t="s">
        <v>71</v>
      </c>
      <c r="C271">
        <v>1</v>
      </c>
      <c r="D271">
        <v>4</v>
      </c>
      <c r="E271" s="3">
        <v>-0.52</v>
      </c>
      <c r="F271" s="65">
        <f>F273*POWER(10,C271*E271/D271)</f>
        <v>7.4131024130091747E-2</v>
      </c>
    </row>
    <row r="272" spans="1:6" x14ac:dyDescent="0.2">
      <c r="A272" s="6" t="s">
        <v>81</v>
      </c>
      <c r="B272" t="s">
        <v>72</v>
      </c>
      <c r="C272">
        <v>1</v>
      </c>
      <c r="D272">
        <v>4</v>
      </c>
      <c r="E272" s="3">
        <v>-0.25</v>
      </c>
      <c r="F272" s="65">
        <f>F273*POWER(10,C272*E272/D272)</f>
        <v>8.6596432336006543E-2</v>
      </c>
    </row>
    <row r="273" spans="1:6" x14ac:dyDescent="0.2">
      <c r="A273" s="6" t="s">
        <v>81</v>
      </c>
      <c r="B273" t="s">
        <v>73</v>
      </c>
      <c r="E273" s="3"/>
      <c r="F273" s="66">
        <v>0.1</v>
      </c>
    </row>
    <row r="274" spans="1:6" x14ac:dyDescent="0.2">
      <c r="A274" s="6" t="s">
        <v>81</v>
      </c>
      <c r="B274" t="s">
        <v>74</v>
      </c>
      <c r="C274">
        <v>1</v>
      </c>
      <c r="D274">
        <v>4</v>
      </c>
      <c r="E274" s="3">
        <v>0.25</v>
      </c>
      <c r="F274" s="65">
        <f>F273*POWER(10,C274*E274/D274)</f>
        <v>0.11547819846894583</v>
      </c>
    </row>
    <row r="275" spans="1:6" x14ac:dyDescent="0.2">
      <c r="A275" s="6" t="s">
        <v>81</v>
      </c>
      <c r="B275" t="s">
        <v>75</v>
      </c>
      <c r="C275">
        <v>1</v>
      </c>
      <c r="D275">
        <v>4</v>
      </c>
      <c r="E275" s="3">
        <v>0.52</v>
      </c>
      <c r="F275" s="65">
        <f>F273*POWER(10,C275*E275/D275)</f>
        <v>0.13489628825916539</v>
      </c>
    </row>
    <row r="276" spans="1:6" x14ac:dyDescent="0.2">
      <c r="A276" s="6" t="s">
        <v>81</v>
      </c>
      <c r="B276" t="s">
        <v>76</v>
      </c>
      <c r="C276">
        <v>1</v>
      </c>
      <c r="D276">
        <v>4</v>
      </c>
      <c r="E276">
        <v>1</v>
      </c>
      <c r="F276" s="65">
        <f>F273*POWER(10,C276*E276/D276)</f>
        <v>0.17782794100389232</v>
      </c>
    </row>
    <row r="277" spans="1:6" x14ac:dyDescent="0.2">
      <c r="A277" s="83" t="s">
        <v>200</v>
      </c>
      <c r="B277" t="s">
        <v>57</v>
      </c>
      <c r="C277">
        <v>1</v>
      </c>
      <c r="D277">
        <v>6</v>
      </c>
      <c r="E277">
        <v>-1</v>
      </c>
      <c r="F277" s="65">
        <f>F$280*POWER(10,C277*E277/D277)</f>
        <v>102.19381035869419</v>
      </c>
    </row>
    <row r="278" spans="1:6" x14ac:dyDescent="0.2">
      <c r="A278" s="83" t="s">
        <v>200</v>
      </c>
      <c r="B278" t="s">
        <v>58</v>
      </c>
      <c r="C278">
        <v>1</v>
      </c>
      <c r="D278">
        <v>6</v>
      </c>
      <c r="E278">
        <v>-0.52</v>
      </c>
      <c r="F278" s="65">
        <f>F$280*POWER(10,C278*E278/D278)</f>
        <v>122.86398363229458</v>
      </c>
    </row>
    <row r="279" spans="1:6" x14ac:dyDescent="0.2">
      <c r="A279" s="83" t="s">
        <v>200</v>
      </c>
      <c r="B279" t="s">
        <v>59</v>
      </c>
      <c r="C279">
        <v>1</v>
      </c>
      <c r="D279">
        <v>6</v>
      </c>
      <c r="E279">
        <v>-0.25</v>
      </c>
      <c r="F279" s="65">
        <f>F$280*POWER(10,C279*E279/D279)</f>
        <v>136.27763634775303</v>
      </c>
    </row>
    <row r="280" spans="1:6" x14ac:dyDescent="0.2">
      <c r="A280" s="83" t="s">
        <v>200</v>
      </c>
      <c r="B280" t="s">
        <v>60</v>
      </c>
      <c r="C280">
        <v>1</v>
      </c>
      <c r="D280">
        <v>6</v>
      </c>
      <c r="F280" s="66">
        <v>150</v>
      </c>
    </row>
    <row r="281" spans="1:6" x14ac:dyDescent="0.2">
      <c r="A281" s="83" t="s">
        <v>200</v>
      </c>
      <c r="B281" t="s">
        <v>61</v>
      </c>
      <c r="C281">
        <v>1</v>
      </c>
      <c r="D281">
        <v>6</v>
      </c>
      <c r="E281">
        <v>0.25</v>
      </c>
      <c r="F281" s="65">
        <f>F$280*POWER(10,C281*E281/D281)</f>
        <v>165.10412568783144</v>
      </c>
    </row>
    <row r="282" spans="1:6" x14ac:dyDescent="0.2">
      <c r="A282" s="83" t="s">
        <v>200</v>
      </c>
      <c r="B282" t="s">
        <v>62</v>
      </c>
      <c r="C282">
        <v>1</v>
      </c>
      <c r="D282">
        <v>6</v>
      </c>
      <c r="E282">
        <v>0.52</v>
      </c>
      <c r="F282" s="65">
        <f>F$280*POWER(10,C282*E282/D282)</f>
        <v>183.12933810886068</v>
      </c>
    </row>
    <row r="283" spans="1:6" x14ac:dyDescent="0.2">
      <c r="A283" s="83" t="s">
        <v>200</v>
      </c>
      <c r="B283" t="s">
        <v>63</v>
      </c>
      <c r="C283">
        <v>1</v>
      </c>
      <c r="D283">
        <v>6</v>
      </c>
      <c r="E283">
        <v>1</v>
      </c>
      <c r="F283" s="65">
        <f>F$280*POWER(10,C283*E283/D283)</f>
        <v>220.16989014331045</v>
      </c>
    </row>
    <row r="284" spans="1:6" x14ac:dyDescent="0.2">
      <c r="A284" s="83" t="s">
        <v>200</v>
      </c>
      <c r="B284" t="s">
        <v>70</v>
      </c>
      <c r="C284">
        <v>1</v>
      </c>
      <c r="D284">
        <v>6</v>
      </c>
      <c r="E284">
        <v>-1</v>
      </c>
      <c r="F284" s="65">
        <f>F$287*POWER(10,C284*E284/D284)</f>
        <v>17.032301726449031</v>
      </c>
    </row>
    <row r="285" spans="1:6" x14ac:dyDescent="0.2">
      <c r="A285" s="83" t="s">
        <v>200</v>
      </c>
      <c r="B285" t="s">
        <v>64</v>
      </c>
      <c r="C285">
        <v>1</v>
      </c>
      <c r="D285">
        <v>6</v>
      </c>
      <c r="E285">
        <v>-0.52</v>
      </c>
      <c r="F285" s="65">
        <f>F$287*POWER(10,C285*E285/D285)</f>
        <v>20.477330605382431</v>
      </c>
    </row>
    <row r="286" spans="1:6" x14ac:dyDescent="0.2">
      <c r="A286" s="83" t="s">
        <v>200</v>
      </c>
      <c r="B286" t="s">
        <v>65</v>
      </c>
      <c r="C286">
        <v>1</v>
      </c>
      <c r="D286">
        <v>6</v>
      </c>
      <c r="E286">
        <v>-0.25</v>
      </c>
      <c r="F286" s="65">
        <f>F$287*POWER(10,C286*E286/D286)</f>
        <v>22.712939391292171</v>
      </c>
    </row>
    <row r="287" spans="1:6" x14ac:dyDescent="0.2">
      <c r="A287" s="83" t="s">
        <v>200</v>
      </c>
      <c r="B287" t="s">
        <v>66</v>
      </c>
      <c r="C287">
        <v>1</v>
      </c>
      <c r="D287">
        <v>6</v>
      </c>
      <c r="F287" s="66">
        <v>25</v>
      </c>
    </row>
    <row r="288" spans="1:6" x14ac:dyDescent="0.2">
      <c r="A288" s="83" t="s">
        <v>200</v>
      </c>
      <c r="B288" t="s">
        <v>67</v>
      </c>
      <c r="C288">
        <v>1</v>
      </c>
      <c r="D288">
        <v>6</v>
      </c>
      <c r="E288">
        <v>0.25</v>
      </c>
      <c r="F288" s="65">
        <f>F$287*POWER(10,C288*E288/D288)</f>
        <v>27.517354281305238</v>
      </c>
    </row>
    <row r="289" spans="1:6" x14ac:dyDescent="0.2">
      <c r="A289" s="83" t="s">
        <v>200</v>
      </c>
      <c r="B289" t="s">
        <v>68</v>
      </c>
      <c r="C289">
        <v>1</v>
      </c>
      <c r="D289">
        <v>6</v>
      </c>
      <c r="E289">
        <v>0.52</v>
      </c>
      <c r="F289" s="65">
        <f>F$287*POWER(10,C289*E289/D289)</f>
        <v>30.521556351476782</v>
      </c>
    </row>
    <row r="290" spans="1:6" x14ac:dyDescent="0.2">
      <c r="A290" s="83" t="s">
        <v>200</v>
      </c>
      <c r="B290" t="s">
        <v>69</v>
      </c>
      <c r="C290">
        <v>1</v>
      </c>
      <c r="D290">
        <v>6</v>
      </c>
      <c r="E290">
        <v>1</v>
      </c>
      <c r="F290" s="65">
        <f>F$287*POWER(10,C290*E290/D290)</f>
        <v>36.694981690551742</v>
      </c>
    </row>
    <row r="291" spans="1:6" x14ac:dyDescent="0.2">
      <c r="A291" s="83" t="s">
        <v>200</v>
      </c>
      <c r="B291" t="s">
        <v>176</v>
      </c>
      <c r="C291">
        <v>1</v>
      </c>
      <c r="D291">
        <v>6</v>
      </c>
      <c r="E291">
        <v>-1</v>
      </c>
      <c r="F291" s="65">
        <f>F$294*POWER(10,C291*E291/D291)</f>
        <v>6.8129206905796122</v>
      </c>
    </row>
    <row r="292" spans="1:6" x14ac:dyDescent="0.2">
      <c r="A292" s="83" t="s">
        <v>200</v>
      </c>
      <c r="B292" t="s">
        <v>177</v>
      </c>
      <c r="C292">
        <v>1</v>
      </c>
      <c r="D292">
        <v>6</v>
      </c>
      <c r="E292">
        <v>-0.52</v>
      </c>
      <c r="F292" s="65">
        <f>F$294*POWER(10,C292*E292/D292)</f>
        <v>8.1909322421529716</v>
      </c>
    </row>
    <row r="293" spans="1:6" x14ac:dyDescent="0.2">
      <c r="A293" s="83" t="s">
        <v>200</v>
      </c>
      <c r="B293" t="s">
        <v>178</v>
      </c>
      <c r="C293">
        <v>1</v>
      </c>
      <c r="D293">
        <v>6</v>
      </c>
      <c r="E293">
        <v>-0.25</v>
      </c>
      <c r="F293" s="65">
        <f>F$294*POWER(10,C293*E293/D293)</f>
        <v>9.0851757565168683</v>
      </c>
    </row>
    <row r="294" spans="1:6" x14ac:dyDescent="0.2">
      <c r="A294" s="83" t="s">
        <v>200</v>
      </c>
      <c r="B294" t="s">
        <v>179</v>
      </c>
      <c r="C294">
        <v>1</v>
      </c>
      <c r="D294">
        <v>6</v>
      </c>
      <c r="F294" s="66">
        <v>10</v>
      </c>
    </row>
    <row r="295" spans="1:6" x14ac:dyDescent="0.2">
      <c r="A295" s="83" t="s">
        <v>200</v>
      </c>
      <c r="B295" t="s">
        <v>180</v>
      </c>
      <c r="C295">
        <v>1</v>
      </c>
      <c r="D295">
        <v>6</v>
      </c>
      <c r="E295">
        <v>0.25</v>
      </c>
      <c r="F295" s="65">
        <f>F$294*POWER(10,C295*E295/D295)</f>
        <v>11.006941712522096</v>
      </c>
    </row>
    <row r="296" spans="1:6" x14ac:dyDescent="0.2">
      <c r="A296" s="83" t="s">
        <v>200</v>
      </c>
      <c r="B296" t="s">
        <v>181</v>
      </c>
      <c r="C296">
        <v>1</v>
      </c>
      <c r="D296">
        <v>6</v>
      </c>
      <c r="E296">
        <v>0.52</v>
      </c>
      <c r="F296" s="65">
        <f>F$294*POWER(10,C296*E296/D296)</f>
        <v>12.208622540590712</v>
      </c>
    </row>
    <row r="297" spans="1:6" x14ac:dyDescent="0.2">
      <c r="A297" s="83" t="s">
        <v>200</v>
      </c>
      <c r="B297" t="s">
        <v>182</v>
      </c>
      <c r="C297">
        <v>1</v>
      </c>
      <c r="D297">
        <v>6</v>
      </c>
      <c r="E297">
        <v>1</v>
      </c>
      <c r="F297" s="65">
        <f>F$294*POWER(10,C297*E297/D297)</f>
        <v>14.677992676220697</v>
      </c>
    </row>
    <row r="298" spans="1:6" x14ac:dyDescent="0.2">
      <c r="A298" s="83" t="s">
        <v>201</v>
      </c>
      <c r="B298" t="s">
        <v>57</v>
      </c>
      <c r="C298">
        <v>1</v>
      </c>
      <c r="D298">
        <v>5</v>
      </c>
      <c r="E298">
        <v>-1</v>
      </c>
      <c r="F298" s="65">
        <f>F$301*POWER(10,C298*E298/D298)</f>
        <v>47.321800836014496</v>
      </c>
    </row>
    <row r="299" spans="1:6" x14ac:dyDescent="0.2">
      <c r="A299" s="83" t="s">
        <v>201</v>
      </c>
      <c r="B299" t="s">
        <v>58</v>
      </c>
      <c r="C299">
        <v>1</v>
      </c>
      <c r="D299">
        <v>5</v>
      </c>
      <c r="E299">
        <v>-0.52</v>
      </c>
      <c r="F299" s="65">
        <f>F$301*POWER(10,C299*E299/D299)</f>
        <v>59.028434227132387</v>
      </c>
    </row>
    <row r="300" spans="1:6" x14ac:dyDescent="0.2">
      <c r="A300" s="83" t="s">
        <v>201</v>
      </c>
      <c r="B300" t="s">
        <v>59</v>
      </c>
      <c r="C300">
        <v>1</v>
      </c>
      <c r="D300">
        <v>5</v>
      </c>
      <c r="E300">
        <v>-0.25</v>
      </c>
      <c r="F300" s="65">
        <f>F$301*POWER(10,C300*E300/D300)</f>
        <v>66.843820360030904</v>
      </c>
    </row>
    <row r="301" spans="1:6" x14ac:dyDescent="0.2">
      <c r="A301" s="83" t="s">
        <v>201</v>
      </c>
      <c r="B301" t="s">
        <v>60</v>
      </c>
      <c r="C301">
        <v>1</v>
      </c>
      <c r="D301">
        <v>5</v>
      </c>
      <c r="F301" s="66">
        <v>75</v>
      </c>
    </row>
    <row r="302" spans="1:6" x14ac:dyDescent="0.2">
      <c r="A302" s="83" t="s">
        <v>201</v>
      </c>
      <c r="B302" t="s">
        <v>61</v>
      </c>
      <c r="C302">
        <v>1</v>
      </c>
      <c r="D302">
        <v>5</v>
      </c>
      <c r="E302">
        <v>0.25</v>
      </c>
      <c r="F302" s="65">
        <f>F$301*POWER(10,C302*E302/D302)</f>
        <v>84.151384072647261</v>
      </c>
    </row>
    <row r="303" spans="1:6" x14ac:dyDescent="0.2">
      <c r="A303" s="83" t="s">
        <v>201</v>
      </c>
      <c r="B303" t="s">
        <v>62</v>
      </c>
      <c r="C303">
        <v>1</v>
      </c>
      <c r="D303">
        <v>5</v>
      </c>
      <c r="E303">
        <v>0.52</v>
      </c>
      <c r="F303" s="65">
        <f>F$301*POWER(10,C303*E303/D303)</f>
        <v>95.293057890640625</v>
      </c>
    </row>
    <row r="304" spans="1:6" x14ac:dyDescent="0.2">
      <c r="A304" s="83" t="s">
        <v>201</v>
      </c>
      <c r="B304" t="s">
        <v>63</v>
      </c>
      <c r="C304">
        <v>1</v>
      </c>
      <c r="D304">
        <v>5</v>
      </c>
      <c r="E304">
        <v>1</v>
      </c>
      <c r="F304" s="65">
        <f>F$301*POWER(10,C304*E304/D304)</f>
        <v>118.86698943458352</v>
      </c>
    </row>
    <row r="305" spans="1:6" x14ac:dyDescent="0.2">
      <c r="A305" s="83" t="s">
        <v>201</v>
      </c>
      <c r="B305" t="s">
        <v>70</v>
      </c>
      <c r="C305">
        <v>1</v>
      </c>
      <c r="D305">
        <v>6</v>
      </c>
      <c r="E305">
        <v>-1</v>
      </c>
      <c r="F305" s="65">
        <f>F$308*POWER(10,C305*E305/D305)</f>
        <v>8.1755048286955354</v>
      </c>
    </row>
    <row r="306" spans="1:6" x14ac:dyDescent="0.2">
      <c r="A306" s="83" t="s">
        <v>201</v>
      </c>
      <c r="B306" t="s">
        <v>64</v>
      </c>
      <c r="C306">
        <v>1</v>
      </c>
      <c r="D306">
        <v>6</v>
      </c>
      <c r="E306">
        <v>-0.52</v>
      </c>
      <c r="F306" s="65">
        <f>F$308*POWER(10,C306*E306/D306)</f>
        <v>9.8291186905835666</v>
      </c>
    </row>
    <row r="307" spans="1:6" x14ac:dyDescent="0.2">
      <c r="A307" s="83" t="s">
        <v>201</v>
      </c>
      <c r="B307" t="s">
        <v>65</v>
      </c>
      <c r="C307">
        <v>1</v>
      </c>
      <c r="D307">
        <v>6</v>
      </c>
      <c r="E307">
        <v>-0.25</v>
      </c>
      <c r="F307" s="65">
        <f>F$308*POWER(10,C307*E307/D307)</f>
        <v>10.90221090782024</v>
      </c>
    </row>
    <row r="308" spans="1:6" x14ac:dyDescent="0.2">
      <c r="A308" s="83" t="s">
        <v>201</v>
      </c>
      <c r="B308" t="s">
        <v>66</v>
      </c>
      <c r="C308">
        <v>1</v>
      </c>
      <c r="D308">
        <v>6</v>
      </c>
      <c r="F308" s="66">
        <v>12</v>
      </c>
    </row>
    <row r="309" spans="1:6" x14ac:dyDescent="0.2">
      <c r="A309" s="83" t="s">
        <v>201</v>
      </c>
      <c r="B309" t="s">
        <v>67</v>
      </c>
      <c r="C309">
        <v>1</v>
      </c>
      <c r="D309">
        <v>6</v>
      </c>
      <c r="E309">
        <v>0.25</v>
      </c>
      <c r="F309" s="65">
        <f>F$308*POWER(10,C309*E309/D309)</f>
        <v>13.208330055026515</v>
      </c>
    </row>
    <row r="310" spans="1:6" x14ac:dyDescent="0.2">
      <c r="A310" s="83" t="s">
        <v>201</v>
      </c>
      <c r="B310" t="s">
        <v>68</v>
      </c>
      <c r="C310">
        <v>1</v>
      </c>
      <c r="D310">
        <v>6</v>
      </c>
      <c r="E310">
        <v>0.52</v>
      </c>
      <c r="F310" s="65">
        <f>F$308*POWER(10,C310*E310/D310)</f>
        <v>14.650347048708856</v>
      </c>
    </row>
    <row r="311" spans="1:6" x14ac:dyDescent="0.2">
      <c r="A311" s="83" t="s">
        <v>201</v>
      </c>
      <c r="B311" t="s">
        <v>69</v>
      </c>
      <c r="C311">
        <v>1</v>
      </c>
      <c r="D311">
        <v>6</v>
      </c>
      <c r="E311">
        <v>1</v>
      </c>
      <c r="F311" s="65">
        <f>F$308*POWER(10,C311*E311/D311)</f>
        <v>17.613591211464836</v>
      </c>
    </row>
    <row r="312" spans="1:6" x14ac:dyDescent="0.2">
      <c r="A312" s="83" t="s">
        <v>201</v>
      </c>
      <c r="B312" t="s">
        <v>176</v>
      </c>
      <c r="C312">
        <v>1</v>
      </c>
      <c r="D312">
        <v>6</v>
      </c>
      <c r="E312">
        <v>-1</v>
      </c>
      <c r="F312" s="65">
        <f>F$315*POWER(10,C312*E312/D312)</f>
        <v>3.4064603452898061</v>
      </c>
    </row>
    <row r="313" spans="1:6" x14ac:dyDescent="0.2">
      <c r="A313" s="83" t="s">
        <v>201</v>
      </c>
      <c r="B313" t="s">
        <v>177</v>
      </c>
      <c r="C313">
        <v>1</v>
      </c>
      <c r="D313">
        <v>6</v>
      </c>
      <c r="E313">
        <v>-0.52</v>
      </c>
      <c r="F313" s="65">
        <f>F$315*POWER(10,C313*E313/D313)</f>
        <v>4.0954661210764858</v>
      </c>
    </row>
    <row r="314" spans="1:6" x14ac:dyDescent="0.2">
      <c r="A314" s="83" t="s">
        <v>201</v>
      </c>
      <c r="B314" t="s">
        <v>178</v>
      </c>
      <c r="C314">
        <v>1</v>
      </c>
      <c r="D314">
        <v>6</v>
      </c>
      <c r="E314">
        <v>-0.25</v>
      </c>
      <c r="F314" s="65">
        <f>F$315*POWER(10,C314*E314/D314)</f>
        <v>4.5425878782584341</v>
      </c>
    </row>
    <row r="315" spans="1:6" x14ac:dyDescent="0.2">
      <c r="A315" s="83" t="s">
        <v>201</v>
      </c>
      <c r="B315" t="s">
        <v>179</v>
      </c>
      <c r="C315">
        <v>1</v>
      </c>
      <c r="D315">
        <v>6</v>
      </c>
      <c r="F315" s="66">
        <v>5</v>
      </c>
    </row>
    <row r="316" spans="1:6" x14ac:dyDescent="0.2">
      <c r="A316" s="83" t="s">
        <v>201</v>
      </c>
      <c r="B316" t="s">
        <v>180</v>
      </c>
      <c r="C316">
        <v>1</v>
      </c>
      <c r="D316">
        <v>6</v>
      </c>
      <c r="E316">
        <v>0.25</v>
      </c>
      <c r="F316" s="65">
        <f>F$315*POWER(10,C316*E316/D316)</f>
        <v>5.5034708562610479</v>
      </c>
    </row>
    <row r="317" spans="1:6" x14ac:dyDescent="0.2">
      <c r="A317" s="83" t="s">
        <v>201</v>
      </c>
      <c r="B317" t="s">
        <v>181</v>
      </c>
      <c r="C317">
        <v>1</v>
      </c>
      <c r="D317">
        <v>6</v>
      </c>
      <c r="E317">
        <v>0.52</v>
      </c>
      <c r="F317" s="65">
        <f>F$315*POWER(10,C317*E317/D317)</f>
        <v>6.1043112702953559</v>
      </c>
    </row>
    <row r="318" spans="1:6" x14ac:dyDescent="0.2">
      <c r="A318" s="83" t="s">
        <v>201</v>
      </c>
      <c r="B318" t="s">
        <v>182</v>
      </c>
      <c r="C318">
        <v>1</v>
      </c>
      <c r="D318">
        <v>6</v>
      </c>
      <c r="E318">
        <v>1</v>
      </c>
      <c r="F318" s="65">
        <f>F$315*POWER(10,C318*E318/D318)</f>
        <v>7.3389963381103485</v>
      </c>
    </row>
    <row r="319" spans="1:6" x14ac:dyDescent="0.2">
      <c r="A319" s="6" t="s">
        <v>183</v>
      </c>
      <c r="B319" t="s">
        <v>57</v>
      </c>
      <c r="C319" s="68">
        <v>1.5</v>
      </c>
      <c r="D319" s="64">
        <v>6</v>
      </c>
      <c r="E319">
        <v>-1</v>
      </c>
      <c r="F319" s="65">
        <f>F$322*POWER(10,C319*E319/D319)</f>
        <v>12573.952031256205</v>
      </c>
    </row>
    <row r="320" spans="1:6" x14ac:dyDescent="0.2">
      <c r="A320" s="6" t="s">
        <v>183</v>
      </c>
      <c r="B320" t="s">
        <v>58</v>
      </c>
      <c r="C320" s="68">
        <v>1.5</v>
      </c>
      <c r="D320" s="64">
        <v>6</v>
      </c>
      <c r="E320" s="3">
        <v>-0.52</v>
      </c>
      <c r="F320" s="65">
        <f t="shared" ref="F320:F325" si="0">F$322*POWER(10,C320*E320/D320)</f>
        <v>16575.696995488513</v>
      </c>
    </row>
    <row r="321" spans="1:6" x14ac:dyDescent="0.2">
      <c r="A321" s="6" t="s">
        <v>183</v>
      </c>
      <c r="B321" t="s">
        <v>59</v>
      </c>
      <c r="C321" s="68">
        <v>1.5</v>
      </c>
      <c r="D321" s="64">
        <v>6</v>
      </c>
      <c r="E321" s="3">
        <v>-0.25</v>
      </c>
      <c r="F321" s="65">
        <f t="shared" si="0"/>
        <v>19362.96227033106</v>
      </c>
    </row>
    <row r="322" spans="1:6" x14ac:dyDescent="0.2">
      <c r="A322" s="6" t="s">
        <v>183</v>
      </c>
      <c r="B322" t="s">
        <v>60</v>
      </c>
      <c r="C322" s="68">
        <v>1.5</v>
      </c>
      <c r="D322" s="64">
        <v>6</v>
      </c>
      <c r="E322" s="3"/>
      <c r="F322" s="66">
        <v>22360</v>
      </c>
    </row>
    <row r="323" spans="1:6" x14ac:dyDescent="0.2">
      <c r="A323" s="6" t="s">
        <v>183</v>
      </c>
      <c r="B323" t="s">
        <v>61</v>
      </c>
      <c r="C323" s="68">
        <v>1.5</v>
      </c>
      <c r="D323" s="64">
        <v>6</v>
      </c>
      <c r="E323" s="3">
        <v>0.25</v>
      </c>
      <c r="F323" s="65">
        <f t="shared" si="0"/>
        <v>25820.925177656285</v>
      </c>
    </row>
    <row r="324" spans="1:6" x14ac:dyDescent="0.2">
      <c r="A324" s="6" t="s">
        <v>183</v>
      </c>
      <c r="B324" t="s">
        <v>62</v>
      </c>
      <c r="C324" s="68">
        <v>1.5</v>
      </c>
      <c r="D324" s="64">
        <v>6</v>
      </c>
      <c r="E324" s="3">
        <v>0.52</v>
      </c>
      <c r="F324" s="65">
        <f t="shared" si="0"/>
        <v>30162.810054749378</v>
      </c>
    </row>
    <row r="325" spans="1:6" x14ac:dyDescent="0.2">
      <c r="A325" s="6" t="s">
        <v>183</v>
      </c>
      <c r="B325" t="s">
        <v>63</v>
      </c>
      <c r="C325" s="68">
        <v>1.5</v>
      </c>
      <c r="D325" s="64">
        <v>6</v>
      </c>
      <c r="E325">
        <v>1</v>
      </c>
      <c r="F325" s="65">
        <f t="shared" si="0"/>
        <v>39762.327608470318</v>
      </c>
    </row>
    <row r="326" spans="1:6" x14ac:dyDescent="0.2">
      <c r="A326" s="6" t="s">
        <v>184</v>
      </c>
      <c r="B326" t="s">
        <v>70</v>
      </c>
      <c r="C326">
        <v>1</v>
      </c>
      <c r="D326" s="64">
        <v>3</v>
      </c>
      <c r="E326">
        <v>-1</v>
      </c>
      <c r="F326" s="82">
        <f>F$329*POWER(10,C326*E326/D326)</f>
        <v>34.811916252095841</v>
      </c>
    </row>
    <row r="327" spans="1:6" x14ac:dyDescent="0.2">
      <c r="A327" s="6" t="s">
        <v>184</v>
      </c>
      <c r="B327" t="s">
        <v>64</v>
      </c>
      <c r="C327">
        <v>1</v>
      </c>
      <c r="D327" s="64">
        <v>3</v>
      </c>
      <c r="E327" s="3">
        <v>-0.52</v>
      </c>
      <c r="F327" s="82">
        <f t="shared" ref="F327:F332" si="1">F$329*POWER(10,C327*E327/D327)</f>
        <v>50.318528246655845</v>
      </c>
    </row>
    <row r="328" spans="1:6" x14ac:dyDescent="0.2">
      <c r="A328" s="6" t="s">
        <v>184</v>
      </c>
      <c r="B328" t="s">
        <v>65</v>
      </c>
      <c r="C328">
        <v>1</v>
      </c>
      <c r="D328" s="64">
        <v>3</v>
      </c>
      <c r="E328" s="3">
        <v>-0.25</v>
      </c>
      <c r="F328" s="82">
        <f t="shared" si="1"/>
        <v>61.905313895101372</v>
      </c>
    </row>
    <row r="329" spans="1:6" x14ac:dyDescent="0.2">
      <c r="A329" s="6" t="s">
        <v>184</v>
      </c>
      <c r="B329" t="s">
        <v>66</v>
      </c>
      <c r="C329">
        <v>1</v>
      </c>
      <c r="D329" s="64">
        <v>3</v>
      </c>
      <c r="E329" s="3"/>
      <c r="F329" s="67">
        <v>75</v>
      </c>
    </row>
    <row r="330" spans="1:6" x14ac:dyDescent="0.2">
      <c r="A330" s="6" t="s">
        <v>184</v>
      </c>
      <c r="B330" t="s">
        <v>67</v>
      </c>
      <c r="C330">
        <v>1</v>
      </c>
      <c r="D330" s="64">
        <v>3</v>
      </c>
      <c r="E330" s="3">
        <v>0.25</v>
      </c>
      <c r="F330" s="82">
        <f t="shared" si="1"/>
        <v>90.864574397144139</v>
      </c>
    </row>
    <row r="331" spans="1:6" x14ac:dyDescent="0.2">
      <c r="A331" s="6" t="s">
        <v>184</v>
      </c>
      <c r="B331" t="s">
        <v>68</v>
      </c>
      <c r="C331">
        <v>1</v>
      </c>
      <c r="D331" s="64">
        <v>3</v>
      </c>
      <c r="E331" s="3">
        <v>0.52</v>
      </c>
      <c r="F331" s="82">
        <f t="shared" si="1"/>
        <v>111.78784825396471</v>
      </c>
    </row>
    <row r="332" spans="1:6" x14ac:dyDescent="0.2">
      <c r="A332" s="6" t="s">
        <v>184</v>
      </c>
      <c r="B332" t="s">
        <v>69</v>
      </c>
      <c r="C332">
        <v>1</v>
      </c>
      <c r="D332" s="64">
        <v>3</v>
      </c>
      <c r="E332">
        <v>1</v>
      </c>
      <c r="F332" s="82">
        <f t="shared" si="1"/>
        <v>161.5826017523913</v>
      </c>
    </row>
    <row r="333" spans="1:6" x14ac:dyDescent="0.2">
      <c r="A333" s="83" t="s">
        <v>185</v>
      </c>
      <c r="B333" t="s">
        <v>176</v>
      </c>
      <c r="C333">
        <v>1</v>
      </c>
      <c r="D333" s="68">
        <v>3</v>
      </c>
      <c r="E333">
        <v>-1</v>
      </c>
      <c r="F333" s="82">
        <f>F336*POWER(10,C333*E333/D333)</f>
        <v>11.603972084031946</v>
      </c>
    </row>
    <row r="334" spans="1:6" x14ac:dyDescent="0.2">
      <c r="A334" s="83" t="s">
        <v>185</v>
      </c>
      <c r="B334" t="s">
        <v>177</v>
      </c>
      <c r="C334">
        <v>1</v>
      </c>
      <c r="D334" s="68">
        <v>3</v>
      </c>
      <c r="E334" s="3">
        <v>-0.52</v>
      </c>
      <c r="F334" s="82">
        <f>F336*POWER(10,C334*E334/D334)</f>
        <v>16.772842748885282</v>
      </c>
    </row>
    <row r="335" spans="1:6" x14ac:dyDescent="0.2">
      <c r="A335" s="83" t="s">
        <v>185</v>
      </c>
      <c r="B335" t="s">
        <v>178</v>
      </c>
      <c r="C335">
        <v>1</v>
      </c>
      <c r="D335" s="68">
        <v>3</v>
      </c>
      <c r="E335" s="3">
        <v>-0.25</v>
      </c>
      <c r="F335" s="82">
        <f>F336*POWER(10,C335*E335/D335)</f>
        <v>20.635104631700457</v>
      </c>
    </row>
    <row r="336" spans="1:6" x14ac:dyDescent="0.2">
      <c r="A336" s="83" t="s">
        <v>185</v>
      </c>
      <c r="B336" t="s">
        <v>179</v>
      </c>
      <c r="C336">
        <v>1</v>
      </c>
      <c r="D336" s="68">
        <v>3</v>
      </c>
      <c r="E336" s="3"/>
      <c r="F336" s="66">
        <v>25</v>
      </c>
    </row>
    <row r="337" spans="1:7" x14ac:dyDescent="0.2">
      <c r="A337" s="83" t="s">
        <v>185</v>
      </c>
      <c r="B337" t="s">
        <v>180</v>
      </c>
      <c r="C337">
        <v>1</v>
      </c>
      <c r="D337" s="68">
        <v>3</v>
      </c>
      <c r="E337" s="3">
        <v>0.25</v>
      </c>
      <c r="F337" s="82">
        <f>F$336*POWER(10,C337*E337/D337)</f>
        <v>30.288191465714714</v>
      </c>
    </row>
    <row r="338" spans="1:7" x14ac:dyDescent="0.2">
      <c r="A338" s="83" t="s">
        <v>185</v>
      </c>
      <c r="B338" t="s">
        <v>181</v>
      </c>
      <c r="C338">
        <v>1</v>
      </c>
      <c r="D338" s="68">
        <v>3</v>
      </c>
      <c r="E338" s="3">
        <v>0.52</v>
      </c>
      <c r="F338" s="82">
        <f>F$336*POWER(10,C338*E338/D338)</f>
        <v>37.262616084654901</v>
      </c>
    </row>
    <row r="339" spans="1:7" x14ac:dyDescent="0.2">
      <c r="A339" s="83" t="s">
        <v>185</v>
      </c>
      <c r="B339" t="s">
        <v>182</v>
      </c>
      <c r="C339">
        <v>1</v>
      </c>
      <c r="D339" s="68">
        <v>3</v>
      </c>
      <c r="E339">
        <v>1</v>
      </c>
      <c r="F339" s="82">
        <f>F$336*POWER(10,C339*E339/D339)</f>
        <v>53.860867250797092</v>
      </c>
    </row>
    <row r="340" spans="1:7" x14ac:dyDescent="0.2">
      <c r="A340" s="83" t="s">
        <v>186</v>
      </c>
      <c r="B340" t="s">
        <v>57</v>
      </c>
      <c r="C340">
        <v>1</v>
      </c>
      <c r="D340" s="68">
        <v>7</v>
      </c>
      <c r="E340">
        <v>-1</v>
      </c>
      <c r="F340" s="82">
        <f>F343*POWER(10,C340*E340/D340)</f>
        <v>7196.8567300115201</v>
      </c>
    </row>
    <row r="341" spans="1:7" x14ac:dyDescent="0.2">
      <c r="A341" s="83" t="s">
        <v>186</v>
      </c>
      <c r="B341" t="s">
        <v>58</v>
      </c>
      <c r="C341">
        <v>1</v>
      </c>
      <c r="D341" s="68">
        <v>7</v>
      </c>
      <c r="E341" s="3">
        <v>-0.52</v>
      </c>
      <c r="F341" s="82">
        <f>F343*POWER(10,C341*E341/D341)</f>
        <v>8427.8012592767027</v>
      </c>
    </row>
    <row r="342" spans="1:7" x14ac:dyDescent="0.2">
      <c r="A342" s="83" t="s">
        <v>186</v>
      </c>
      <c r="B342" t="s">
        <v>59</v>
      </c>
      <c r="C342">
        <v>1</v>
      </c>
      <c r="D342" s="68">
        <v>7</v>
      </c>
      <c r="E342" s="3">
        <v>-0.25</v>
      </c>
      <c r="F342" s="82">
        <f>F343*POWER(10,C342*E342/D342)</f>
        <v>9210.5531768948167</v>
      </c>
    </row>
    <row r="343" spans="1:7" x14ac:dyDescent="0.2">
      <c r="A343" s="83" t="s">
        <v>186</v>
      </c>
      <c r="B343" t="s">
        <v>60</v>
      </c>
      <c r="C343">
        <v>1</v>
      </c>
      <c r="D343" s="68">
        <v>7</v>
      </c>
      <c r="E343" s="3"/>
      <c r="F343" s="66">
        <v>10000</v>
      </c>
      <c r="G343" t="s">
        <v>236</v>
      </c>
    </row>
    <row r="344" spans="1:7" x14ac:dyDescent="0.2">
      <c r="A344" s="83" t="s">
        <v>186</v>
      </c>
      <c r="B344" t="s">
        <v>61</v>
      </c>
      <c r="C344">
        <v>1</v>
      </c>
      <c r="D344" s="68">
        <v>7</v>
      </c>
      <c r="E344" s="3">
        <v>0.25</v>
      </c>
      <c r="F344" s="82">
        <f>F$343*POWER(10,C344*E344/D344)</f>
        <v>10857.111194022042</v>
      </c>
      <c r="G344" t="s">
        <v>237</v>
      </c>
    </row>
    <row r="345" spans="1:7" x14ac:dyDescent="0.2">
      <c r="A345" s="83" t="s">
        <v>186</v>
      </c>
      <c r="B345" t="s">
        <v>62</v>
      </c>
      <c r="C345">
        <v>1</v>
      </c>
      <c r="D345" s="68">
        <v>7</v>
      </c>
      <c r="E345" s="3">
        <v>0.52</v>
      </c>
      <c r="F345" s="82">
        <f>F$343*POWER(10,C345*E345/D345)</f>
        <v>11865.491000980519</v>
      </c>
      <c r="G345" t="s">
        <v>235</v>
      </c>
    </row>
    <row r="346" spans="1:7" x14ac:dyDescent="0.2">
      <c r="A346" s="83" t="s">
        <v>186</v>
      </c>
      <c r="B346" t="s">
        <v>63</v>
      </c>
      <c r="C346">
        <v>1</v>
      </c>
      <c r="D346" s="68">
        <v>7</v>
      </c>
      <c r="E346">
        <v>1</v>
      </c>
      <c r="F346" s="82">
        <f>F$343*POWER(10,C346*E346/D346)</f>
        <v>13894.954943731376</v>
      </c>
      <c r="G346" t="s">
        <v>238</v>
      </c>
    </row>
    <row r="347" spans="1:7" x14ac:dyDescent="0.2">
      <c r="A347" s="6" t="s">
        <v>186</v>
      </c>
      <c r="B347" t="s">
        <v>70</v>
      </c>
      <c r="C347">
        <v>1</v>
      </c>
      <c r="D347" s="68">
        <v>3</v>
      </c>
      <c r="E347">
        <v>-1</v>
      </c>
      <c r="F347" s="65">
        <f>F$350*POWER(10,C347*E347/D347)</f>
        <v>232.07944168063892</v>
      </c>
      <c r="G347" t="s">
        <v>500</v>
      </c>
    </row>
    <row r="348" spans="1:7" x14ac:dyDescent="0.2">
      <c r="A348" s="6" t="s">
        <v>186</v>
      </c>
      <c r="B348" t="s">
        <v>64</v>
      </c>
      <c r="C348">
        <v>1</v>
      </c>
      <c r="D348">
        <v>3</v>
      </c>
      <c r="E348" s="3">
        <v>-0.52</v>
      </c>
      <c r="F348" s="65">
        <f>F$350*POWER(10,C348*E348/D348)</f>
        <v>335.45685497770563</v>
      </c>
      <c r="G348" t="s">
        <v>501</v>
      </c>
    </row>
    <row r="349" spans="1:7" x14ac:dyDescent="0.2">
      <c r="A349" s="6" t="s">
        <v>186</v>
      </c>
      <c r="B349" t="s">
        <v>65</v>
      </c>
      <c r="C349">
        <v>1</v>
      </c>
      <c r="D349">
        <v>3</v>
      </c>
      <c r="E349" s="3">
        <v>-0.25</v>
      </c>
      <c r="F349" s="65">
        <f>F$350*POWER(10,C349*E349/D349)</f>
        <v>412.70209263400915</v>
      </c>
    </row>
    <row r="350" spans="1:7" x14ac:dyDescent="0.2">
      <c r="A350" s="6" t="s">
        <v>186</v>
      </c>
      <c r="B350" t="s">
        <v>66</v>
      </c>
      <c r="C350">
        <v>1</v>
      </c>
      <c r="D350">
        <v>3</v>
      </c>
      <c r="E350" s="3"/>
      <c r="F350" s="66">
        <v>500</v>
      </c>
    </row>
    <row r="351" spans="1:7" x14ac:dyDescent="0.2">
      <c r="A351" s="6" t="s">
        <v>186</v>
      </c>
      <c r="B351" t="s">
        <v>67</v>
      </c>
      <c r="C351">
        <v>1</v>
      </c>
      <c r="D351">
        <v>3</v>
      </c>
      <c r="E351" s="3">
        <v>0.25</v>
      </c>
      <c r="F351" s="65">
        <f>F$350*POWER(10,C351*E351/D351)</f>
        <v>605.7638293142943</v>
      </c>
    </row>
    <row r="352" spans="1:7" x14ac:dyDescent="0.2">
      <c r="A352" s="6" t="s">
        <v>186</v>
      </c>
      <c r="B352" t="s">
        <v>68</v>
      </c>
      <c r="C352">
        <v>1</v>
      </c>
      <c r="D352">
        <v>3</v>
      </c>
      <c r="E352" s="3">
        <v>0.52</v>
      </c>
      <c r="F352" s="65">
        <f>F$350*POWER(10,C352*E352/D352)</f>
        <v>745.25232169309811</v>
      </c>
      <c r="G352" t="s">
        <v>236</v>
      </c>
    </row>
    <row r="353" spans="1:7" x14ac:dyDescent="0.2">
      <c r="A353" s="6" t="s">
        <v>186</v>
      </c>
      <c r="B353" t="s">
        <v>69</v>
      </c>
      <c r="C353">
        <v>1</v>
      </c>
      <c r="D353">
        <v>3</v>
      </c>
      <c r="E353">
        <v>1</v>
      </c>
      <c r="F353" s="65">
        <f>F$350*POWER(10,C353*E353/D353)</f>
        <v>1077.2173450159419</v>
      </c>
      <c r="G353" t="s">
        <v>237</v>
      </c>
    </row>
    <row r="354" spans="1:7" x14ac:dyDescent="0.2">
      <c r="A354" s="83" t="s">
        <v>186</v>
      </c>
      <c r="B354" t="s">
        <v>176</v>
      </c>
      <c r="C354">
        <v>1</v>
      </c>
      <c r="D354" s="68">
        <v>3</v>
      </c>
      <c r="E354">
        <v>-1</v>
      </c>
      <c r="F354" s="65">
        <f>F$357*POWER(10,C354*E354/D354)</f>
        <v>23.207944168063893</v>
      </c>
      <c r="G354" t="s">
        <v>235</v>
      </c>
    </row>
    <row r="355" spans="1:7" x14ac:dyDescent="0.2">
      <c r="A355" s="83" t="s">
        <v>186</v>
      </c>
      <c r="B355" t="s">
        <v>177</v>
      </c>
      <c r="C355">
        <v>1</v>
      </c>
      <c r="D355">
        <v>3</v>
      </c>
      <c r="E355" s="3">
        <v>-0.52</v>
      </c>
      <c r="F355" s="65">
        <f>F$357*POWER(10,C355*E355/D355)</f>
        <v>33.545685497770563</v>
      </c>
      <c r="G355" t="s">
        <v>238</v>
      </c>
    </row>
    <row r="356" spans="1:7" x14ac:dyDescent="0.2">
      <c r="A356" s="83" t="s">
        <v>186</v>
      </c>
      <c r="B356" t="s">
        <v>178</v>
      </c>
      <c r="C356">
        <v>1</v>
      </c>
      <c r="D356">
        <v>3</v>
      </c>
      <c r="E356" s="3">
        <v>-0.25</v>
      </c>
      <c r="F356" s="65">
        <f>F$357*POWER(10,C356*E356/D356)</f>
        <v>41.270209263400915</v>
      </c>
      <c r="G356" t="s">
        <v>500</v>
      </c>
    </row>
    <row r="357" spans="1:7" x14ac:dyDescent="0.2">
      <c r="A357" s="83" t="s">
        <v>186</v>
      </c>
      <c r="B357" t="s">
        <v>179</v>
      </c>
      <c r="C357">
        <v>1</v>
      </c>
      <c r="D357">
        <v>3</v>
      </c>
      <c r="E357" s="3"/>
      <c r="F357" s="66">
        <v>50</v>
      </c>
      <c r="G357" t="s">
        <v>501</v>
      </c>
    </row>
    <row r="358" spans="1:7" x14ac:dyDescent="0.2">
      <c r="A358" s="83" t="s">
        <v>186</v>
      </c>
      <c r="B358" t="s">
        <v>180</v>
      </c>
      <c r="C358">
        <v>1</v>
      </c>
      <c r="D358">
        <v>3</v>
      </c>
      <c r="E358" s="3">
        <v>0.25</v>
      </c>
      <c r="F358" s="65">
        <f>F$357*POWER(10,C358*E358/D358)</f>
        <v>60.576382931429428</v>
      </c>
    </row>
    <row r="359" spans="1:7" x14ac:dyDescent="0.2">
      <c r="A359" s="83" t="s">
        <v>186</v>
      </c>
      <c r="B359" t="s">
        <v>181</v>
      </c>
      <c r="C359">
        <v>1</v>
      </c>
      <c r="D359">
        <v>3</v>
      </c>
      <c r="E359" s="3">
        <v>0.52</v>
      </c>
      <c r="F359" s="65">
        <f>F$357*POWER(10,C359*E359/D359)</f>
        <v>74.525232169309803</v>
      </c>
    </row>
    <row r="360" spans="1:7" x14ac:dyDescent="0.2">
      <c r="A360" s="83" t="s">
        <v>186</v>
      </c>
      <c r="B360" t="s">
        <v>182</v>
      </c>
      <c r="C360">
        <v>1</v>
      </c>
      <c r="D360">
        <v>3</v>
      </c>
      <c r="E360">
        <v>1</v>
      </c>
      <c r="F360" s="65">
        <f>F$357*POWER(10,C360*E360/D360)</f>
        <v>107.72173450159418</v>
      </c>
    </row>
    <row r="361" spans="1:7" x14ac:dyDescent="0.2">
      <c r="A361" s="83" t="s">
        <v>187</v>
      </c>
      <c r="B361" t="s">
        <v>57</v>
      </c>
      <c r="C361">
        <v>1</v>
      </c>
      <c r="D361" s="68">
        <v>7</v>
      </c>
      <c r="E361">
        <v>-1</v>
      </c>
      <c r="F361" s="82">
        <f>F364*POWER(10,C361*E361/D361)</f>
        <v>3598.42836500576</v>
      </c>
    </row>
    <row r="362" spans="1:7" x14ac:dyDescent="0.2">
      <c r="A362" s="83" t="s">
        <v>187</v>
      </c>
      <c r="B362" t="s">
        <v>58</v>
      </c>
      <c r="C362">
        <v>1</v>
      </c>
      <c r="D362" s="68">
        <v>7</v>
      </c>
      <c r="E362" s="3">
        <v>-0.52</v>
      </c>
      <c r="F362" s="82">
        <f>F364*POWER(10,C362*E362/D362)</f>
        <v>4213.9006296383513</v>
      </c>
    </row>
    <row r="363" spans="1:7" x14ac:dyDescent="0.2">
      <c r="A363" s="83" t="s">
        <v>187</v>
      </c>
      <c r="B363" t="s">
        <v>59</v>
      </c>
      <c r="C363">
        <v>1</v>
      </c>
      <c r="D363" s="68">
        <v>7</v>
      </c>
      <c r="E363" s="3">
        <v>-0.25</v>
      </c>
      <c r="F363" s="82">
        <f>F364*POWER(10,C363*E363/D363)</f>
        <v>4605.2765884474084</v>
      </c>
    </row>
    <row r="364" spans="1:7" x14ac:dyDescent="0.2">
      <c r="A364" s="83" t="s">
        <v>187</v>
      </c>
      <c r="B364" t="s">
        <v>60</v>
      </c>
      <c r="C364">
        <v>1</v>
      </c>
      <c r="D364" s="68">
        <v>7</v>
      </c>
      <c r="E364" s="3"/>
      <c r="F364" s="66">
        <v>5000</v>
      </c>
    </row>
    <row r="365" spans="1:7" x14ac:dyDescent="0.2">
      <c r="A365" s="83" t="s">
        <v>187</v>
      </c>
      <c r="B365" t="s">
        <v>61</v>
      </c>
      <c r="C365">
        <v>1</v>
      </c>
      <c r="D365" s="68">
        <v>7</v>
      </c>
      <c r="E365" s="3">
        <v>0.25</v>
      </c>
      <c r="F365" s="82">
        <f>F$364*POWER(10,C365*E365/D365)</f>
        <v>5428.5555970110208</v>
      </c>
    </row>
    <row r="366" spans="1:7" x14ac:dyDescent="0.2">
      <c r="A366" s="83" t="s">
        <v>187</v>
      </c>
      <c r="B366" t="s">
        <v>62</v>
      </c>
      <c r="C366">
        <v>1</v>
      </c>
      <c r="D366" s="68">
        <v>7</v>
      </c>
      <c r="E366" s="3">
        <v>0.52</v>
      </c>
      <c r="F366" s="82">
        <f>F$364*POWER(10,C366*E366/D366)</f>
        <v>5932.7455004902595</v>
      </c>
    </row>
    <row r="367" spans="1:7" x14ac:dyDescent="0.2">
      <c r="A367" s="83" t="s">
        <v>187</v>
      </c>
      <c r="B367" t="s">
        <v>63</v>
      </c>
      <c r="C367">
        <v>1</v>
      </c>
      <c r="D367" s="68">
        <v>7</v>
      </c>
      <c r="E367">
        <v>1</v>
      </c>
      <c r="F367" s="82">
        <f>F$364*POWER(10,C367*E367/D367)</f>
        <v>6947.4774718656881</v>
      </c>
    </row>
    <row r="368" spans="1:7" x14ac:dyDescent="0.2">
      <c r="A368" s="6" t="s">
        <v>187</v>
      </c>
      <c r="B368" t="s">
        <v>70</v>
      </c>
      <c r="C368">
        <v>1</v>
      </c>
      <c r="D368">
        <v>3</v>
      </c>
      <c r="E368">
        <v>-1</v>
      </c>
      <c r="F368" s="65">
        <f>F$371*POWER(10,C368*E368/D368)</f>
        <v>92.831776672255572</v>
      </c>
    </row>
    <row r="369" spans="1:6" x14ac:dyDescent="0.2">
      <c r="A369" s="6" t="s">
        <v>187</v>
      </c>
      <c r="B369" t="s">
        <v>64</v>
      </c>
      <c r="C369">
        <v>1</v>
      </c>
      <c r="D369">
        <v>3</v>
      </c>
      <c r="E369" s="3">
        <v>-0.52</v>
      </c>
      <c r="F369" s="65">
        <f>F$371*POWER(10,C369*E369/D369)</f>
        <v>134.18274199108225</v>
      </c>
    </row>
    <row r="370" spans="1:6" x14ac:dyDescent="0.2">
      <c r="A370" s="6" t="s">
        <v>187</v>
      </c>
      <c r="B370" t="s">
        <v>65</v>
      </c>
      <c r="C370">
        <v>1</v>
      </c>
      <c r="D370">
        <v>3</v>
      </c>
      <c r="E370" s="3">
        <v>-0.25</v>
      </c>
      <c r="F370" s="65">
        <f>F$371*POWER(10,C370*E370/D370)</f>
        <v>165.08083705360366</v>
      </c>
    </row>
    <row r="371" spans="1:6" x14ac:dyDescent="0.2">
      <c r="A371" s="6" t="s">
        <v>187</v>
      </c>
      <c r="B371" t="s">
        <v>66</v>
      </c>
      <c r="C371">
        <v>1</v>
      </c>
      <c r="D371">
        <v>3</v>
      </c>
      <c r="E371" s="3"/>
      <c r="F371" s="67">
        <v>200</v>
      </c>
    </row>
    <row r="372" spans="1:6" x14ac:dyDescent="0.2">
      <c r="A372" s="6" t="s">
        <v>187</v>
      </c>
      <c r="B372" t="s">
        <v>67</v>
      </c>
      <c r="C372">
        <v>1</v>
      </c>
      <c r="D372">
        <v>3</v>
      </c>
      <c r="E372" s="3">
        <v>0.25</v>
      </c>
      <c r="F372" s="65">
        <f>F$371*POWER(10,C372*E372/D372)</f>
        <v>242.30553172571771</v>
      </c>
    </row>
    <row r="373" spans="1:6" x14ac:dyDescent="0.2">
      <c r="A373" s="6" t="s">
        <v>187</v>
      </c>
      <c r="B373" t="s">
        <v>68</v>
      </c>
      <c r="C373">
        <v>1</v>
      </c>
      <c r="D373">
        <v>3</v>
      </c>
      <c r="E373" s="3">
        <v>0.52</v>
      </c>
      <c r="F373" s="65">
        <f>F$371*POWER(10,C373*E373/D373)</f>
        <v>298.10092867723921</v>
      </c>
    </row>
    <row r="374" spans="1:6" x14ac:dyDescent="0.2">
      <c r="A374" s="6" t="s">
        <v>187</v>
      </c>
      <c r="B374" t="s">
        <v>69</v>
      </c>
      <c r="C374">
        <v>1</v>
      </c>
      <c r="D374">
        <v>3</v>
      </c>
      <c r="E374">
        <v>1</v>
      </c>
      <c r="F374" s="65">
        <f>F$371*POWER(10,C374*E374/D374)</f>
        <v>430.88693800637674</v>
      </c>
    </row>
    <row r="375" spans="1:6" x14ac:dyDescent="0.2">
      <c r="A375" s="83" t="s">
        <v>187</v>
      </c>
      <c r="B375" t="s">
        <v>176</v>
      </c>
      <c r="C375">
        <v>1</v>
      </c>
      <c r="D375">
        <v>3</v>
      </c>
      <c r="E375">
        <v>-1</v>
      </c>
      <c r="F375" s="65">
        <f>F$378*POWER(10,C375*E375/D375)</f>
        <v>11.603972084031946</v>
      </c>
    </row>
    <row r="376" spans="1:6" x14ac:dyDescent="0.2">
      <c r="A376" s="83" t="s">
        <v>187</v>
      </c>
      <c r="B376" t="s">
        <v>177</v>
      </c>
      <c r="C376">
        <v>1</v>
      </c>
      <c r="D376">
        <v>3</v>
      </c>
      <c r="E376" s="3">
        <v>-0.52</v>
      </c>
      <c r="F376" s="65">
        <f>F$378*POWER(10,C376*E376/D376)</f>
        <v>16.772842748885282</v>
      </c>
    </row>
    <row r="377" spans="1:6" x14ac:dyDescent="0.2">
      <c r="A377" s="83" t="s">
        <v>187</v>
      </c>
      <c r="B377" t="s">
        <v>178</v>
      </c>
      <c r="C377">
        <v>1</v>
      </c>
      <c r="D377">
        <v>3</v>
      </c>
      <c r="E377" s="3">
        <v>-0.25</v>
      </c>
      <c r="F377" s="65">
        <f>F$378*POWER(10,C377*E377/D377)</f>
        <v>20.635104631700457</v>
      </c>
    </row>
    <row r="378" spans="1:6" x14ac:dyDescent="0.2">
      <c r="A378" s="83" t="s">
        <v>187</v>
      </c>
      <c r="B378" t="s">
        <v>179</v>
      </c>
      <c r="C378">
        <v>1</v>
      </c>
      <c r="D378">
        <v>3</v>
      </c>
      <c r="E378" s="3"/>
      <c r="F378" s="67">
        <v>25</v>
      </c>
    </row>
    <row r="379" spans="1:6" x14ac:dyDescent="0.2">
      <c r="A379" s="83" t="s">
        <v>187</v>
      </c>
      <c r="B379" t="s">
        <v>180</v>
      </c>
      <c r="C379">
        <v>1</v>
      </c>
      <c r="D379">
        <v>3</v>
      </c>
      <c r="E379" s="3">
        <v>0.25</v>
      </c>
      <c r="F379" s="65">
        <f>F$378*POWER(10,C379*E379/D379)</f>
        <v>30.288191465714714</v>
      </c>
    </row>
    <row r="380" spans="1:6" x14ac:dyDescent="0.2">
      <c r="A380" s="83" t="s">
        <v>187</v>
      </c>
      <c r="B380" t="s">
        <v>181</v>
      </c>
      <c r="C380">
        <v>1</v>
      </c>
      <c r="D380">
        <v>3</v>
      </c>
      <c r="E380" s="3">
        <v>0.52</v>
      </c>
      <c r="F380" s="65">
        <f>F$378*POWER(10,C380*E380/D380)</f>
        <v>37.262616084654901</v>
      </c>
    </row>
    <row r="381" spans="1:6" x14ac:dyDescent="0.2">
      <c r="A381" s="83" t="s">
        <v>187</v>
      </c>
      <c r="B381" t="s">
        <v>182</v>
      </c>
      <c r="C381">
        <v>1</v>
      </c>
      <c r="D381">
        <v>3</v>
      </c>
      <c r="E381">
        <v>1</v>
      </c>
      <c r="F381" s="65">
        <f>F$378*POWER(10,C381*E381/D381)</f>
        <v>53.860867250797092</v>
      </c>
    </row>
    <row r="382" spans="1:6" x14ac:dyDescent="0.2">
      <c r="A382" s="119" t="s">
        <v>229</v>
      </c>
      <c r="B382" t="s">
        <v>60</v>
      </c>
      <c r="C382">
        <v>1</v>
      </c>
      <c r="D382" t="s">
        <v>232</v>
      </c>
      <c r="E382" t="s">
        <v>223</v>
      </c>
      <c r="F382" s="65">
        <v>1000</v>
      </c>
    </row>
    <row r="383" spans="1:6" x14ac:dyDescent="0.2">
      <c r="A383" s="119" t="s">
        <v>230</v>
      </c>
      <c r="B383" t="s">
        <v>60</v>
      </c>
      <c r="C383">
        <v>1</v>
      </c>
      <c r="D383" t="s">
        <v>232</v>
      </c>
      <c r="E383" t="s">
        <v>223</v>
      </c>
      <c r="F383" s="65">
        <v>10000</v>
      </c>
    </row>
    <row r="384" spans="1:6" x14ac:dyDescent="0.2">
      <c r="A384" s="119" t="s">
        <v>231</v>
      </c>
      <c r="B384" t="s">
        <v>60</v>
      </c>
      <c r="C384">
        <v>1</v>
      </c>
      <c r="D384" t="s">
        <v>232</v>
      </c>
      <c r="E384" t="s">
        <v>223</v>
      </c>
      <c r="F384" s="65">
        <v>5000</v>
      </c>
    </row>
    <row r="385" spans="1:6" x14ac:dyDescent="0.2">
      <c r="A385" s="119" t="s">
        <v>230</v>
      </c>
      <c r="B385" t="s">
        <v>66</v>
      </c>
      <c r="C385">
        <v>1</v>
      </c>
      <c r="D385" t="s">
        <v>232</v>
      </c>
      <c r="E385" t="s">
        <v>223</v>
      </c>
      <c r="F385" s="65">
        <v>500</v>
      </c>
    </row>
    <row r="386" spans="1:6" x14ac:dyDescent="0.2">
      <c r="A386" s="119" t="s">
        <v>231</v>
      </c>
      <c r="B386" t="s">
        <v>66</v>
      </c>
      <c r="C386">
        <v>1</v>
      </c>
      <c r="D386" t="s">
        <v>232</v>
      </c>
      <c r="E386" t="s">
        <v>223</v>
      </c>
      <c r="F386" s="65">
        <v>200</v>
      </c>
    </row>
    <row r="387" spans="1:6" x14ac:dyDescent="0.2">
      <c r="A387" s="119" t="s">
        <v>230</v>
      </c>
      <c r="B387" t="s">
        <v>179</v>
      </c>
      <c r="C387">
        <v>1</v>
      </c>
      <c r="D387" t="s">
        <v>232</v>
      </c>
      <c r="E387" t="s">
        <v>223</v>
      </c>
      <c r="F387" s="65">
        <v>50</v>
      </c>
    </row>
    <row r="388" spans="1:6" x14ac:dyDescent="0.2">
      <c r="A388" s="119" t="s">
        <v>231</v>
      </c>
      <c r="B388" t="s">
        <v>179</v>
      </c>
      <c r="C388">
        <v>1</v>
      </c>
      <c r="D388" t="s">
        <v>232</v>
      </c>
      <c r="E388" t="s">
        <v>223</v>
      </c>
      <c r="F388" s="65">
        <v>25</v>
      </c>
    </row>
    <row r="389" spans="1:6" x14ac:dyDescent="0.2">
      <c r="A389" s="119" t="s">
        <v>499</v>
      </c>
      <c r="B389" t="s">
        <v>66</v>
      </c>
      <c r="C389">
        <v>1</v>
      </c>
      <c r="D389" t="s">
        <v>232</v>
      </c>
      <c r="E389" t="s">
        <v>223</v>
      </c>
      <c r="F389" s="65">
        <v>75</v>
      </c>
    </row>
    <row r="390" spans="1:6" x14ac:dyDescent="0.2">
      <c r="A390" s="119" t="s">
        <v>499</v>
      </c>
      <c r="B390" t="s">
        <v>179</v>
      </c>
      <c r="C390">
        <v>1</v>
      </c>
      <c r="D390" t="s">
        <v>232</v>
      </c>
      <c r="E390" t="s">
        <v>223</v>
      </c>
      <c r="F390" s="65">
        <v>25</v>
      </c>
    </row>
    <row r="391" spans="1:6" x14ac:dyDescent="0.2">
      <c r="A391" s="119" t="s">
        <v>247</v>
      </c>
      <c r="B391" t="s">
        <v>60</v>
      </c>
      <c r="C391">
        <v>1</v>
      </c>
      <c r="D391" t="s">
        <v>232</v>
      </c>
      <c r="E391" t="s">
        <v>223</v>
      </c>
      <c r="F391" s="65">
        <v>1000</v>
      </c>
    </row>
    <row r="392" spans="1:6" x14ac:dyDescent="0.2">
      <c r="A392" s="119" t="s">
        <v>249</v>
      </c>
      <c r="B392" t="s">
        <v>60</v>
      </c>
      <c r="C392">
        <v>1</v>
      </c>
      <c r="D392" t="s">
        <v>232</v>
      </c>
      <c r="E392" t="s">
        <v>223</v>
      </c>
      <c r="F392" s="65">
        <v>5000</v>
      </c>
    </row>
    <row r="393" spans="1:6" x14ac:dyDescent="0.2">
      <c r="A393" s="119" t="s">
        <v>250</v>
      </c>
      <c r="B393" t="s">
        <v>60</v>
      </c>
      <c r="C393">
        <v>1</v>
      </c>
      <c r="D393" t="s">
        <v>232</v>
      </c>
      <c r="E393" t="s">
        <v>223</v>
      </c>
      <c r="F393" s="65">
        <v>2500</v>
      </c>
    </row>
    <row r="394" spans="1:6" x14ac:dyDescent="0.2">
      <c r="A394" s="119" t="s">
        <v>249</v>
      </c>
      <c r="B394" t="s">
        <v>66</v>
      </c>
      <c r="C394">
        <v>1</v>
      </c>
      <c r="D394" t="s">
        <v>232</v>
      </c>
      <c r="E394" t="s">
        <v>223</v>
      </c>
      <c r="F394" s="65">
        <v>500</v>
      </c>
    </row>
    <row r="395" spans="1:6" x14ac:dyDescent="0.2">
      <c r="A395" s="119" t="s">
        <v>250</v>
      </c>
      <c r="B395" t="s">
        <v>66</v>
      </c>
      <c r="C395">
        <v>1</v>
      </c>
      <c r="D395" t="s">
        <v>232</v>
      </c>
      <c r="E395" t="s">
        <v>223</v>
      </c>
      <c r="F395" s="65">
        <v>200</v>
      </c>
    </row>
    <row r="396" spans="1:6" x14ac:dyDescent="0.2">
      <c r="A396" s="119" t="s">
        <v>249</v>
      </c>
      <c r="B396" t="s">
        <v>179</v>
      </c>
      <c r="C396">
        <v>1</v>
      </c>
      <c r="D396" t="s">
        <v>232</v>
      </c>
      <c r="E396" t="s">
        <v>223</v>
      </c>
      <c r="F396" s="65">
        <v>50</v>
      </c>
    </row>
    <row r="397" spans="1:6" x14ac:dyDescent="0.2">
      <c r="A397" s="119" t="s">
        <v>250</v>
      </c>
      <c r="B397" t="s">
        <v>179</v>
      </c>
      <c r="C397">
        <v>1</v>
      </c>
      <c r="D397" t="s">
        <v>232</v>
      </c>
      <c r="E397" t="s">
        <v>223</v>
      </c>
      <c r="F397" s="65">
        <v>25</v>
      </c>
    </row>
    <row r="398" spans="1:6" x14ac:dyDescent="0.2">
      <c r="A398" s="119" t="s">
        <v>502</v>
      </c>
      <c r="B398" t="s">
        <v>66</v>
      </c>
      <c r="C398">
        <v>1</v>
      </c>
      <c r="D398" t="s">
        <v>232</v>
      </c>
      <c r="E398" t="s">
        <v>223</v>
      </c>
      <c r="F398" s="65">
        <v>75</v>
      </c>
    </row>
    <row r="399" spans="1:6" x14ac:dyDescent="0.2">
      <c r="A399" s="119" t="s">
        <v>502</v>
      </c>
      <c r="B399" t="s">
        <v>179</v>
      </c>
      <c r="C399">
        <v>1</v>
      </c>
      <c r="D399" t="s">
        <v>232</v>
      </c>
      <c r="E399" t="s">
        <v>223</v>
      </c>
      <c r="F399" s="65">
        <v>25</v>
      </c>
    </row>
  </sheetData>
  <mergeCells count="8">
    <mergeCell ref="J133:M133"/>
    <mergeCell ref="J134:M134"/>
    <mergeCell ref="I2:Q2"/>
    <mergeCell ref="I136:M136"/>
    <mergeCell ref="I38:Q38"/>
    <mergeCell ref="I58:Q58"/>
    <mergeCell ref="J131:M131"/>
    <mergeCell ref="J132:M132"/>
  </mergeCells>
  <phoneticPr fontId="0" type="noConversion"/>
  <printOptions headings="1" gridLines="1"/>
  <pageMargins left="0.75" right="0.75" top="1" bottom="1" header="0.5" footer="0.5"/>
  <pageSetup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F164"/>
  <sheetViews>
    <sheetView showRowColHeaders="0" topLeftCell="B1" zoomScale="70" zoomScaleNormal="70" workbookViewId="0">
      <selection activeCell="F4" sqref="F4"/>
    </sheetView>
  </sheetViews>
  <sheetFormatPr defaultRowHeight="12.75" x14ac:dyDescent="0.2"/>
  <cols>
    <col min="1" max="1" width="6.7109375" customWidth="1"/>
    <col min="2" max="2" width="9.85546875" customWidth="1"/>
    <col min="3" max="3" width="11.42578125" customWidth="1"/>
    <col min="4" max="4" width="11.85546875" customWidth="1"/>
    <col min="5" max="5" width="16" customWidth="1"/>
    <col min="6" max="6" width="36.5703125" customWidth="1"/>
    <col min="7" max="7" width="19.7109375" customWidth="1"/>
    <col min="8" max="8" width="21" customWidth="1"/>
    <col min="9" max="9" width="17.5703125" customWidth="1"/>
    <col min="10" max="10" width="12.5703125" customWidth="1"/>
    <col min="11" max="11" width="27.42578125" customWidth="1"/>
    <col min="12" max="12" width="15.85546875" customWidth="1"/>
    <col min="13" max="13" width="21" customWidth="1"/>
    <col min="14" max="14" width="17" customWidth="1"/>
    <col min="15" max="16" width="12.28515625" style="5" customWidth="1"/>
    <col min="17" max="17" width="10.85546875" style="5" customWidth="1"/>
    <col min="18" max="18" width="16.28515625" customWidth="1"/>
    <col min="19" max="19" width="12.42578125" bestFit="1" customWidth="1"/>
    <col min="21" max="21" width="11.42578125" bestFit="1" customWidth="1"/>
    <col min="22" max="23" width="12.42578125" bestFit="1" customWidth="1"/>
    <col min="24" max="24" width="15.140625" customWidth="1"/>
    <col min="25" max="25" width="14.5703125" customWidth="1"/>
    <col min="26" max="26" width="17.5703125" customWidth="1"/>
  </cols>
  <sheetData>
    <row r="1" spans="1:32" ht="13.5" thickBot="1" x14ac:dyDescent="0.25"/>
    <row r="2" spans="1:32" ht="13.5" thickBot="1" x14ac:dyDescent="0.25">
      <c r="I2" s="421" t="s">
        <v>156</v>
      </c>
      <c r="J2" s="422"/>
      <c r="K2" s="422"/>
      <c r="L2" s="422"/>
      <c r="M2" s="422"/>
      <c r="N2" s="422"/>
      <c r="O2" s="422"/>
      <c r="P2" s="422"/>
      <c r="Q2" s="423"/>
      <c r="S2" s="4" t="s">
        <v>54</v>
      </c>
      <c r="T2" s="4" t="s">
        <v>78</v>
      </c>
      <c r="U2" s="4" t="s">
        <v>79</v>
      </c>
      <c r="V2" s="4" t="s">
        <v>80</v>
      </c>
      <c r="W2" s="4" t="s">
        <v>81</v>
      </c>
      <c r="X2" s="4" t="s">
        <v>166</v>
      </c>
      <c r="Y2" s="4" t="s">
        <v>165</v>
      </c>
      <c r="Z2" s="4" t="s">
        <v>171</v>
      </c>
    </row>
    <row r="3" spans="1:32" x14ac:dyDescent="0.2">
      <c r="A3" t="s">
        <v>55</v>
      </c>
      <c r="B3" t="s">
        <v>56</v>
      </c>
      <c r="C3" t="s">
        <v>89</v>
      </c>
      <c r="D3" t="s">
        <v>84</v>
      </c>
      <c r="E3" t="s">
        <v>94</v>
      </c>
      <c r="F3" t="s">
        <v>93</v>
      </c>
      <c r="G3" t="s">
        <v>90</v>
      </c>
      <c r="H3" t="s">
        <v>92</v>
      </c>
      <c r="I3" t="s">
        <v>55</v>
      </c>
      <c r="J3" t="s">
        <v>56</v>
      </c>
      <c r="K3" t="s">
        <v>91</v>
      </c>
      <c r="L3" t="s">
        <v>98</v>
      </c>
      <c r="M3" t="s">
        <v>97</v>
      </c>
      <c r="N3" t="s">
        <v>99</v>
      </c>
      <c r="O3" s="5" t="s">
        <v>103</v>
      </c>
      <c r="P3" s="5" t="s">
        <v>102</v>
      </c>
      <c r="Q3" s="5" t="s">
        <v>101</v>
      </c>
      <c r="S3" t="str">
        <f>IF(AND('Risk Assessment (Habers Law)'!A7=1,'Risk Assessment (Habers Law)'!E7=1),'Risk Assessment (Habers Law)'!D3,IF(AND('Risk Assessment (Habers Law)'!A7=1,'Risk Assessment (Habers Law)'!E7=2),('Risk Assessment (Habers Law)'!D3*(162.3/24.45)*298/(273+'Risk Assessment (Habers Law)'!C7)),IF(AND('Risk Assessment (Habers Law)'!A7=1,'Risk Assessment (Habers Law)'!E7=3),('Risk Assessment (Habers Law)'!D3*(162.3/24.45)*298/(273+'Risk Assessment (Habers Law)'!C7))/1000,IF(AND('Risk Assessment (Habers Law)'!A7=1,'Risk Assessment (Habers Law)'!E7=4),('Risk Assessment (Habers Law)'!D3*(162.3/24.45)*298/(273+'Risk Assessment (Habers Law)'!C7))/1000000,"N/A"))))</f>
        <v>N/A</v>
      </c>
      <c r="T3" t="str">
        <f>IF(AND('Risk Assessment (Habers Law)'!A7=2,'Risk Assessment (Habers Law)'!E7=1),'Risk Assessment (Habers Law)'!D3,IF(AND('Risk Assessment (Habers Law)'!A7=2,'Risk Assessment (Habers Law)'!E7=2),('Risk Assessment (Habers Law)'!D3*(140.1/24.45)*298/(273+'Risk Assessment (Habers Law)'!C7)),IF(AND('Risk Assessment (Habers Law)'!A7=2,'Risk Assessment (Habers Law)'!E7=3),('Risk Assessment (Habers Law)'!D3*(140.1/24.45)*298/(273+'Risk Assessment (Habers Law)'!C7))/1000,IF(AND('Risk Assessment (Habers Law)'!A7=2,'Risk Assessment (Habers Law)'!E7=4),('Risk Assessment (Habers Law)'!D3*(140.1/24.45)*298/(273+'Risk Assessment (Habers Law)'!C7))/1000000,"N/A"))))</f>
        <v>N/A</v>
      </c>
      <c r="U3" t="str">
        <f>IF(AND('Risk Assessment (Habers Law)'!A7=3,'Risk Assessment (Habers Law)'!E7=1),'Risk Assessment (Habers Law)'!D3,IF(AND('Risk Assessment (Habers Law)'!A7=3,'Risk Assessment (Habers Law)'!E7=2),('Risk Assessment (Habers Law)'!D3*(182.78/24.45)*298/(273+'Risk Assessment (Habers Law)'!C7)),IF(AND('Risk Assessment (Habers Law)'!A7=3,'Risk Assessment (Habers Law)'!E7=3),('Risk Assessment (Habers Law)'!D3*(182.78/24.45)*298/(273+'Risk Assessment (Habers Law)'!C7))/1000,IF(AND('Risk Assessment (Habers Law)'!A7=3,'Risk Assessment (Habers Law)'!E7=4),('Risk Assessment (Habers Law)'!D3*(182.78/24.45)*298/(273+'Risk Assessment (Habers Law)'!C7))/1000000,"N/A"))))</f>
        <v>N/A</v>
      </c>
      <c r="V3" t="str">
        <f>IF(AND('Risk Assessment (Habers Law)'!A7=4,'Risk Assessment (Habers Law)'!E7=1),'Risk Assessment (Habers Law)'!D3,IF(AND('Risk Assessment (Habers Law)'!A7=4,'Risk Assessment (Habers Law)'!E7=2),('Risk Assessment (Habers Law)'!D3*(180.2/24.45)*298/(273+'Risk Assessment (Habers Law)'!C7)),IF(AND('Risk Assessment (Habers Law)'!A7=4,'Risk Assessment (Habers Law)'!E7=3),('Risk Assessment (Habers Law)'!D3*(180.2/24.45)*298/(273+'Risk Assessment (Habers Law)'!C7))/1000,IF(AND('Risk Assessment (Habers Law)'!A7=4,'Risk Assessment (Habers Law)'!E7=4),('Risk Assessment (Habers Law)'!D3*(180.2/24.45)*298/(273+'Risk Assessment (Habers Law)'!C7))/1000000,"N/A"))))</f>
        <v>N/A</v>
      </c>
      <c r="W3">
        <f>IF(AND('Risk Assessment (Habers Law)'!A7=5,'Risk Assessment (Habers Law)'!E7=1),'Risk Assessment (Habers Law)'!D3,IF(AND('Risk Assessment (Habers Law)'!A7=5,'Risk Assessment (Habers Law)'!E7=2),('Risk Assessment (Habers Law)'!D3*(267.38/24.45)*298/(273+'Risk Assessment (Habers Law)'!C7)),IF(AND('Risk Assessment (Habers Law)'!A7=5,'Risk Assessment (Habers Law)'!E7=3),('Risk Assessment (Habers Law)'!D3*(267.38/24.45)*298/(273+'Risk Assessment (Habers Law)'!C7))/1000,IF(AND('Risk Assessment (Habers Law)'!A7=5,'Risk Assessment (Habers Law)'!E7=4),('Risk Assessment (Habers Law)'!D3*(267.38/24.45)*298/(273+'Risk Assessment (Habers Law)'!C7))/1000000,"N/A"))))</f>
        <v>4.3743149284253576E-5</v>
      </c>
      <c r="X3" t="str">
        <f>IF(AND('Risk Assessment (Habers Law)'!A7=6,'Risk Assessment (Habers Law)'!E7=1),'Risk Assessment (Habers Law)'!D3,IF(AND('Risk Assessment (Habers Law)'!A7=6,'Risk Assessment (Habers Law)'!E7=2),('Risk Assessment (Habers Law)'!D3*(159.08/24.45)*298/(273+'Risk Assessment (Habers Law)'!C7)),IF(AND('Risk Assessment (Habers Law)'!A7=6,'Risk Assessment (Habers Law)'!E7=3),('Risk Assessment (Habers Law)'!D3*(159.08/24.45)*298/(273+'Risk Assessment (Habers Law)'!C7))/1000,IF(AND('Risk Assessment (Habers Law)'!A7=6,'Risk Assessment (Habers Law)'!E7=4),('Risk Assessment (Habers Law)'!D3*(159.08/24.45)*298/(273+'Risk Assessment (Habers Law)'!C7))/1000000,"N/A"))))</f>
        <v>N/A</v>
      </c>
      <c r="Y3" t="str">
        <f>IF(AND('Risk Assessment (Habers Law)'!A7=7,'Risk Assessment (Habers Law)'!E7=1),'Risk Assessment (Habers Law)'!D3,IF(AND('Risk Assessment (Habers Law)'!A7=7,'Risk Assessment (Habers Law)'!E7=2),('Risk Assessment (Habers Law)'!D3*(159.08/24.45)*298/(273+'Risk Assessment (Habers Law)'!C7)),IF(AND('Risk Assessment (Habers Law)'!A7=7,'Risk Assessment (Habers Law)'!E7=3),('Risk Assessment (Habers Law)'!D3*(159.08/24.45)*298/(273+'Risk Assessment (Habers Law)'!C7))/1000,IF(AND('Risk Assessment (Habers Law)'!A7=7,'Risk Assessment (Habers Law)'!E7=4),('Risk Assessment (Habers Law)'!D3*(159.08/24.45)*298/(273+'Risk Assessment (Habers Law)'!C7))/1000000,"N/A"))))</f>
        <v>N/A</v>
      </c>
      <c r="Z3" t="str">
        <f>IF(AND('Risk Assessment (Habers Law)'!A7=8,'Risk Assessment (Habers Law)'!E7=1),'Risk Assessment (Habers Law)'!D3,IF(AND('Risk Assessment (Habers Law)'!A7=8,'Risk Assessment (Habers Law)'!E7=2),('Risk Assessment (Habers Law)'!D3*(159.08/24.45)*298/(273+'Risk Assessment (Habers Law)'!C7)),IF(AND('Risk Assessment (Habers Law)'!A7=8,'Risk Assessment (Habers Law)'!E7=3),('Risk Assessment (Habers Law)'!D3*(159.08/24.45)*298/(273+'Risk Assessment (Habers Law)'!C7))/1000,IF(AND('Risk Assessment (Habers Law)'!A7=8,'Risk Assessment (Habers Law)'!E7=4),('Risk Assessment (Habers Law)'!D3*(159.08/24.45)*298/(273+'Risk Assessment (Habers Law)'!C7))/1000000,"N/A"))))</f>
        <v>N/A</v>
      </c>
    </row>
    <row r="4" spans="1:32" ht="18" x14ac:dyDescent="0.25">
      <c r="A4" t="s">
        <v>54</v>
      </c>
      <c r="B4" t="s">
        <v>57</v>
      </c>
      <c r="C4">
        <v>1</v>
      </c>
      <c r="D4">
        <v>12</v>
      </c>
      <c r="E4">
        <v>-1</v>
      </c>
      <c r="F4">
        <f>F7*POWER(10,C4*E4/D4)</f>
        <v>57.778292968761278</v>
      </c>
      <c r="G4">
        <f>'Risk Assessment (Habers Law)'!D7</f>
        <v>4.3743149284253576E-5</v>
      </c>
      <c r="H4">
        <f>IF(OR('Risk Assessment (Habers Law)'!E3=0,'Risk Assessment (Habers Law)'!E3=""),"Error",'Risk Assessment (Habers Law)'!E3)</f>
        <v>30</v>
      </c>
      <c r="I4" s="32" t="s">
        <v>54</v>
      </c>
      <c r="J4" t="s">
        <v>95</v>
      </c>
      <c r="K4" s="17">
        <f>(POWER(G$4,C$4)*H$4)</f>
        <v>1.3122944785276074E-3</v>
      </c>
      <c r="L4" t="str">
        <f>IF(K4&gt;F10,"&gt;84%",IF(K4&gt;F9,"&gt;70%&lt;84%",IF(K4&gt;F8,"&gt;60%&lt;70%",IF(K4&gt;F7,"&gt;50%&lt;60%",IF(K4&gt;F6,"&gt;40%&lt;50%",IF(K4&gt;F5,"&gt;30%&lt;40%",IF(K4&gt;F4,"&gt;16%&lt;30%","&lt;16%")))))))</f>
        <v>&lt;16%</v>
      </c>
      <c r="M4" t="str">
        <f>IF(K4&gt;F17,"&gt;84%",IF(K4&gt;F16,"&gt;70%&lt;84%",IF(K4&gt;F15,"&gt;60%&lt;70%",IF(K4&gt;F14,"&gt;50%&lt;60%",IF(K4&gt;F13,"&gt;40%&lt;50%",IF(K4&gt;F12,"&gt;30%&lt;40%",IF(K4&gt;F11,"&gt;16%&lt;30%","&lt;16%")))))))</f>
        <v>&lt;16%</v>
      </c>
      <c r="O4" s="5">
        <f>IF(L4="&lt;16%",F4,IF(L4="&gt;16%&lt;30%",F5,IF(L4="&gt;30%&lt;40%",F6,IF(L4="&gt;40%&lt;50%",F7,IF(L4="&gt;50%&lt;60%",F8,IF(L4="&gt;60%&lt;70%",F9,IF(L4="&gt;70%&lt;84%",F10,F10)))))))</f>
        <v>57.778292968761278</v>
      </c>
      <c r="P4" s="5">
        <f>IF(M4="&lt;16%",F11,IF(M4="&gt;16%&lt;30%",F12,IF(M4="&gt;30%&lt;40%",F13,IF(M4="&gt;40%&lt;50%",F14,IF(M4="&gt;50%&lt;60%",F15,IF(M4="&gt;60%&lt;70%",F16,IF(M4="&gt;70%&lt;84%",F17,F17)))))))</f>
        <v>39.716411736214077</v>
      </c>
      <c r="AF4" s="1"/>
    </row>
    <row r="5" spans="1:32" x14ac:dyDescent="0.2">
      <c r="B5" t="s">
        <v>58</v>
      </c>
      <c r="C5">
        <v>1</v>
      </c>
      <c r="D5">
        <v>12</v>
      </c>
      <c r="E5" s="3">
        <v>-0.52</v>
      </c>
      <c r="F5">
        <f>F7*POWER(10,C5*E5/D5)</f>
        <v>63.35263845061985</v>
      </c>
      <c r="I5" s="32"/>
      <c r="J5" t="s">
        <v>96</v>
      </c>
      <c r="K5" s="17">
        <f>(POWER(G$4,C$18)*H$4)</f>
        <v>1.3122944785276074E-3</v>
      </c>
      <c r="N5" t="str">
        <f>IF(K5&gt;F24,"&gt;84%",IF(K5&gt;F23,"&gt;70%&lt;84%",IF(K5&gt;F22,"&gt;60%&lt;70%",IF(K5&gt;F21,"&gt;50%&lt;60%",IF(K5&gt;F20,"&gt;40%&lt;50%",IF(K5&gt;F19,"&gt;30%&lt;40%",IF(K5&gt;F18,"&gt;16%&lt;30%","&lt;16%")))))))</f>
        <v>&lt;16%</v>
      </c>
      <c r="Q5" s="5">
        <f>IF(N5="&lt;16%",F18,IF(N5="&gt;16%&lt;30%",F19,IF(N5="&gt;30%&lt;40%",F20,IF(N5="&gt;40%&lt;50%",F21,IF(N5="&gt;50%&lt;60%",F22,IF(N5="&gt;60%&lt;70%",F23,IF(N5="&gt;70%&lt;84%",F24,F24)))))))</f>
        <v>0.63095734448019325</v>
      </c>
    </row>
    <row r="6" spans="1:32" x14ac:dyDescent="0.2">
      <c r="B6" t="s">
        <v>59</v>
      </c>
      <c r="C6">
        <v>1</v>
      </c>
      <c r="D6">
        <v>12</v>
      </c>
      <c r="E6" s="3">
        <v>-0.25</v>
      </c>
      <c r="F6">
        <f>F7*POWER(10,C6*E6/D6)</f>
        <v>66.721331826435133</v>
      </c>
      <c r="I6" s="32"/>
    </row>
    <row r="7" spans="1:32" x14ac:dyDescent="0.2">
      <c r="B7" t="s">
        <v>60</v>
      </c>
      <c r="E7" s="3"/>
      <c r="F7">
        <v>70</v>
      </c>
      <c r="I7" s="32" t="s">
        <v>78</v>
      </c>
      <c r="J7" t="s">
        <v>95</v>
      </c>
      <c r="K7" s="17">
        <f>(POWER(G$4,C$25)*H$4)</f>
        <v>1.3122944785276074E-3</v>
      </c>
      <c r="L7" t="str">
        <f>IF(K7&gt;F31,"&gt;84%",IF(K7&gt;F30,"&gt;70%&lt;84%",IF(K7&gt;F29,"&gt;60%&lt;70%",IF(K7&gt;F28,"&gt;50%&lt;60%",IF(K7&gt;F27,"&gt;40%&lt;50%",IF(K7&gt;F26,"&gt;30%&lt;40%",IF(K7&gt;F25,"&gt;16%&lt;30%","&lt;16%")))))))</f>
        <v>&lt;16%</v>
      </c>
      <c r="M7" t="str">
        <f>IF(K7&gt;F38,"&gt;84%",IF(K7&gt;F37,"&gt;70%&lt;84%",IF(K7&gt;F36,"&gt;60%&lt;70%",IF(K7&gt;F35,"&gt;50%&lt;60%",IF(K7&gt;F34,"&gt;40%&lt;50%",IF(K7&gt;F33,"&gt;30%&lt;40%",IF(K7&gt;F32,"&gt;16%&lt;30%","&lt;16%")))))))</f>
        <v>&lt;16%</v>
      </c>
      <c r="O7" s="5">
        <f>IF(L7="&lt;16%",F25,IF(L7="&gt;16%&lt;30%",F26,IF(L7="&gt;30%&lt;40%",F27,IF(L7="&gt;40%&lt;50%",F28,IF(L7="&gt;50%&lt;60%",F29,IF(L7="&gt;60%&lt;70%",F30,IF(L7="&gt;70%&lt;84%",F31,F31)))))))</f>
        <v>28.889146484380639</v>
      </c>
      <c r="P7" s="5">
        <f>IF(M7="&lt;16%",F32,IF(M7="&gt;16%&lt;30%",F33,IF(M7="&gt;30%&lt;40%",F34,IF(M7="&gt;40%&lt;50%",F35,IF(M7="&gt;50%&lt;60%",F36,IF(M7="&gt;60%&lt;70%",F37,IF(M7="&gt;70%&lt;84%",F38,F38)))))))</f>
        <v>19.858205868107039</v>
      </c>
    </row>
    <row r="8" spans="1:32" x14ac:dyDescent="0.2">
      <c r="B8" t="s">
        <v>61</v>
      </c>
      <c r="C8">
        <v>1</v>
      </c>
      <c r="D8">
        <v>12</v>
      </c>
      <c r="E8" s="3">
        <v>0.25</v>
      </c>
      <c r="F8">
        <f>F7*POWER(10,C8*E8/D8)</f>
        <v>73.439781039541685</v>
      </c>
      <c r="I8" s="32"/>
      <c r="J8" t="s">
        <v>96</v>
      </c>
      <c r="K8" s="17">
        <f>(POWER(G$4,C$39)*H$4)</f>
        <v>1.3122944785276074E-3</v>
      </c>
      <c r="N8" t="str">
        <f>IF(K7&gt;F45,"&gt;84%",IF(K7&gt;F44,"&gt;70%&lt;84%",IF(K7&gt;F43,"&gt;60%&lt;70%",IF(K7&gt;F42,"&gt;50%&lt;60%",IF(K7&gt;F41,"&gt;40%&lt;50%",IF(K7&gt;F40,"&gt;30%&lt;40%",IF(K7&gt;F39,"&gt;16%&lt;30%","&lt;16%")))))))</f>
        <v>&lt;16%</v>
      </c>
      <c r="Q8" s="5">
        <f>IF(N8="&lt;16%",F39,IF(N8="&gt;16%&lt;30%",F40,IF(N8="&gt;30%&lt;40%",F41,IF(N8="&gt;40%&lt;50%",F42,IF(N8="&gt;50%&lt;60%",F43,IF(N8="&gt;60%&lt;70%",F44,IF(N8="&gt;70%&lt;84%",F45,F45)))))))</f>
        <v>0.63095734448019325</v>
      </c>
    </row>
    <row r="9" spans="1:32" ht="18" x14ac:dyDescent="0.25">
      <c r="B9" t="s">
        <v>62</v>
      </c>
      <c r="C9">
        <v>1</v>
      </c>
      <c r="D9">
        <v>12</v>
      </c>
      <c r="E9" s="3">
        <v>0.52</v>
      </c>
      <c r="F9">
        <f>F7*POWER(10,C9*E9/D9)</f>
        <v>77.344844979413139</v>
      </c>
      <c r="I9" s="32"/>
      <c r="K9" s="17"/>
      <c r="X9" s="1" t="s">
        <v>5</v>
      </c>
      <c r="Y9" s="1"/>
    </row>
    <row r="10" spans="1:32" ht="18" x14ac:dyDescent="0.25">
      <c r="B10" t="s">
        <v>63</v>
      </c>
      <c r="C10">
        <v>1</v>
      </c>
      <c r="D10">
        <v>12</v>
      </c>
      <c r="E10">
        <v>1</v>
      </c>
      <c r="F10">
        <f>F7*POWER(10,C10*E10/D10)</f>
        <v>84.806936104001196</v>
      </c>
      <c r="I10" s="32" t="s">
        <v>79</v>
      </c>
      <c r="J10" t="s">
        <v>95</v>
      </c>
      <c r="K10" s="17">
        <f>(POWER(G$4,C$46)*H$4)</f>
        <v>1.3122944785276074E-3</v>
      </c>
      <c r="L10" t="str">
        <f>IF(K10&gt;F52,"&gt;84%",IF(K10&gt;F51,"&gt;70%&lt;84%",IF(K10&gt;F50,"&gt;60%&lt;70%",IF(K10&gt;F49,"&gt;50%&lt;60%",IF(K10&gt;F48,"&gt;40%&lt;50%",IF(K10&gt;F47,"&gt;30%&lt;40%",IF(K10&gt;F46,"&gt;16%&lt;30%","&lt;16%")))))))</f>
        <v>&lt;16%</v>
      </c>
      <c r="M10" t="str">
        <f>IF(K10&gt;F59,"&gt;84%",IF(K10&gt;F58,"&gt;70%&lt;84%",IF(K10&gt;F57,"&gt;60%&lt;70%",IF(K10&gt;F56,"&gt;50%&lt;60%",IF(K10&gt;F55,"&gt;40%&lt;50%",IF(K10&gt;F54,"&gt;30%&lt;40%",IF(K10&gt;F53,"&gt;16%&lt;30%","&lt;16%")))))))</f>
        <v>&lt;16%</v>
      </c>
      <c r="O10" s="5">
        <f>IF(L10="&lt;16%",F46,IF(L10="&gt;16%&lt;30%",F47,IF(L10="&gt;30%&lt;40%",F48,IF(L10="&gt;40%&lt;50%",F49,IF(L10="&gt;50%&lt;60%",F50,IF(L10="&gt;60%&lt;70%",F51,IF(L10="&gt;70%&lt;84%",F52,F52)))))))</f>
        <v>28.889146484380639</v>
      </c>
      <c r="P10" s="5">
        <f>IF(M10="&lt;16%",F53,IF(M10="&gt;16%&lt;30%",F54,IF(M10="&gt;30%&lt;40%",F55,IF(M10="&gt;40%&lt;50%",F56,IF(M10="&gt;50%&lt;60%",F57,IF(M10="&gt;60%&lt;70%",F58,IF(M10="&gt;70%&lt;84%",F59,F59)))))))</f>
        <v>19.858205868107039</v>
      </c>
      <c r="X10" s="1" t="s">
        <v>6</v>
      </c>
      <c r="Y10" s="1"/>
    </row>
    <row r="11" spans="1:32" x14ac:dyDescent="0.2">
      <c r="B11" t="s">
        <v>70</v>
      </c>
      <c r="C11">
        <v>1</v>
      </c>
      <c r="D11">
        <v>10</v>
      </c>
      <c r="E11">
        <v>-1</v>
      </c>
      <c r="F11">
        <f>F14*POWER(10,C11*E11/D11)</f>
        <v>39.716411736214077</v>
      </c>
      <c r="I11" s="32"/>
      <c r="J11" t="s">
        <v>96</v>
      </c>
      <c r="K11" s="17">
        <f>(POWER(G$4,C$60)*H$4)</f>
        <v>1.3122944785276074E-3</v>
      </c>
      <c r="N11" t="str">
        <f>IF(K11&gt;F66,"&gt;84%",IF(K11&gt;F65,"&gt;70%&lt;84%",IF(K11&gt;F64,"&gt;60%&lt;70%",IF(K11&gt;F63,"&gt;50%&lt;60%",IF(K11&gt;F62,"&gt;40%&lt;50%",IF(K11&gt;F61,"&gt;30%&lt;40%",IF(K11&gt;F60,"&gt;16%&lt;30%","&lt;16%")))))))</f>
        <v>&lt;16%</v>
      </c>
      <c r="Q11" s="5">
        <f>IF(N11="&lt;16%",F60,IF(N11="&gt;16%&lt;30%",F61,IF(N11="&gt;30%&lt;40%",F62,IF(N11="&gt;40%&lt;50%",F63,IF(N11="&gt;50%&lt;60%",F64,IF(N11="&gt;60%&lt;70%",F65,IF(N11="&gt;70%&lt;84%",F66,F66)))))))</f>
        <v>0.27251682762318452</v>
      </c>
    </row>
    <row r="12" spans="1:32" ht="18" x14ac:dyDescent="0.25">
      <c r="B12" t="s">
        <v>64</v>
      </c>
      <c r="C12">
        <v>1</v>
      </c>
      <c r="D12">
        <v>10</v>
      </c>
      <c r="E12" s="3">
        <v>-0.52</v>
      </c>
      <c r="F12">
        <f>F14*POWER(10,C12*E12/D12)</f>
        <v>44.357800601898042</v>
      </c>
      <c r="I12" s="32"/>
      <c r="K12" s="17"/>
      <c r="X12" s="1" t="s">
        <v>54</v>
      </c>
    </row>
    <row r="13" spans="1:32" ht="18" x14ac:dyDescent="0.25">
      <c r="B13" t="s">
        <v>65</v>
      </c>
      <c r="C13">
        <v>1</v>
      </c>
      <c r="D13">
        <v>10</v>
      </c>
      <c r="E13" s="3">
        <v>-0.25</v>
      </c>
      <c r="F13">
        <f>F14*POWER(10,C13*E13/D13)</f>
        <v>47.203043814296173</v>
      </c>
      <c r="I13" s="32" t="s">
        <v>80</v>
      </c>
      <c r="J13" t="s">
        <v>95</v>
      </c>
      <c r="K13" s="17">
        <f>(POWER(G$4,C$67)*H$4)</f>
        <v>1.3122944785276074E-3</v>
      </c>
      <c r="L13" t="str">
        <f>IF(K13&gt;F73,"&gt;84%",IF(K13&gt;F72,"&gt;70%&lt;84%",IF(K13&gt;F71,"&gt;60%&lt;70%",IF(K13&gt;F70,"&gt;50%&lt;60%",IF(K13&gt;F69,"&gt;40%&lt;50%",IF(K13&gt;F68,"&gt;30%&lt;40%",IF(K13&gt;F67,"&gt;16%&lt;30%","&lt;16%")))))))</f>
        <v>&lt;16%</v>
      </c>
      <c r="M13" t="str">
        <f>IF(K13&gt;F80,"&gt;84%",IF(K13&gt;F79,"&gt;70%&lt;84%",IF(K13&gt;F78,"&gt;60%&lt;70%",IF(K13&gt;F77,"&gt;50%&lt;60%",IF(K13&gt;F76,"&gt;40%&lt;50%",IF(K13&gt;F75,"&gt;30%&lt;40%",IF(K13&gt;F74,"&gt;16%&lt;30%","&lt;16%")))))))</f>
        <v>&lt;16%</v>
      </c>
      <c r="O13" s="5">
        <f>IF(L13="&lt;16%",F67,IF(L13="&gt;16%&lt;30%",F68,IF(L13="&gt;30%&lt;40%",F69,IF(L13="&gt;40%&lt;50%",F70,IF(L13="&gt;50%&lt;60%",F71,IF(L13="&gt;60%&lt;70%",F72,IF(L13="&gt;70%&lt;84%",F73,F73)))))))</f>
        <v>28.889146484380639</v>
      </c>
      <c r="P13" s="5">
        <f>IF(M13="&lt;16%",F74,IF(M13="&gt;16%&lt;30%",F75,IF(M13="&gt;30%&lt;40%",F76,IF(M13="&gt;40%&lt;50%",F77,IF(M13="&gt;50%&lt;60%",F78,IF(M13="&gt;60%&lt;70%",F79,IF(M13="&gt;70%&lt;84%",F80,F80)))))))</f>
        <v>19.858205868107039</v>
      </c>
      <c r="X13" s="1" t="s">
        <v>2</v>
      </c>
      <c r="Y13" s="1" t="s">
        <v>19</v>
      </c>
    </row>
    <row r="14" spans="1:32" ht="18" x14ac:dyDescent="0.25">
      <c r="B14" t="s">
        <v>66</v>
      </c>
      <c r="E14" s="3"/>
      <c r="F14">
        <v>50</v>
      </c>
      <c r="I14" s="32"/>
      <c r="J14" t="s">
        <v>96</v>
      </c>
      <c r="K14" s="17">
        <f>(POWER(G$4,C$81)*H$4)</f>
        <v>1.3122944785276074E-3</v>
      </c>
      <c r="N14" t="str">
        <f>IF(K14&gt;F87,"&gt;84%",IF(K14&gt;F86,"&gt;70%&lt;84%",IF(K14&gt;F85,"&gt;60%&lt;70%",IF(K14&gt;F84,"&gt;50%&lt;60%",IF(K14&gt;F83,"&gt;40%&lt;50%",IF(K14&gt;F82,"&gt;30%&lt;40%",IF(K14&gt;F81,"&gt;16%&lt;30%","&lt;16%")))))))</f>
        <v>&lt;16%</v>
      </c>
      <c r="Q14" s="5">
        <f>IF(N14="&lt;16%",F81,IF(N14="&gt;16%&lt;30%",F82,IF(N14="&gt;30%&lt;40%",F83,IF(N14="&gt;40%&lt;50%",F84,IF(N14="&gt;50%&lt;60%",F85,IF(N14="&gt;60%&lt;70%",F86,IF(N14="&gt;70%&lt;84%",F87,F87)))))))</f>
        <v>0.25238293779207732</v>
      </c>
      <c r="X14" s="1" t="s">
        <v>9</v>
      </c>
      <c r="Y14" s="1" t="s">
        <v>20</v>
      </c>
    </row>
    <row r="15" spans="1:32" ht="18" x14ac:dyDescent="0.25">
      <c r="B15" t="s">
        <v>67</v>
      </c>
      <c r="C15">
        <v>1</v>
      </c>
      <c r="D15">
        <v>10</v>
      </c>
      <c r="E15" s="3">
        <v>0.25</v>
      </c>
      <c r="F15">
        <f>F14*POWER(10,C15*E15/D15)</f>
        <v>52.962686258864444</v>
      </c>
      <c r="I15" s="32"/>
      <c r="K15" s="17"/>
      <c r="X15" s="1" t="s">
        <v>11</v>
      </c>
      <c r="Y15" s="1" t="s">
        <v>12</v>
      </c>
    </row>
    <row r="16" spans="1:32" x14ac:dyDescent="0.2">
      <c r="B16" t="s">
        <v>68</v>
      </c>
      <c r="C16">
        <v>1</v>
      </c>
      <c r="D16">
        <v>10</v>
      </c>
      <c r="E16" s="3">
        <v>0.52</v>
      </c>
      <c r="F16">
        <f>F14*POWER(10,C16*E16/D16)</f>
        <v>56.359872808775521</v>
      </c>
      <c r="I16" s="32" t="s">
        <v>81</v>
      </c>
      <c r="J16" t="s">
        <v>100</v>
      </c>
      <c r="K16" s="17">
        <f>(POWER(G$4,C$88)*H$4)</f>
        <v>1.3122944785276074E-3</v>
      </c>
      <c r="L16" t="str">
        <f>IF(K16&gt;F94,"&gt;84%",IF(K16&gt;F93,"&gt;70%&lt;84%",IF(K16&gt;F92,"&gt;60%&lt;70%",IF(K16&gt;F91,"&gt;50%&lt;60%",IF(K16&gt;F90,"&gt;40%&lt;50%",IF(K16&gt;F89,"&gt;30%&lt;40%",IF(K16&gt;F88,"&gt;16%&lt;30%","&lt;16%")))))))</f>
        <v>&lt;16%</v>
      </c>
      <c r="M16" t="str">
        <f>IF(K16&gt;F101,"&gt;84%",IF(K16&gt;F100,"&gt;70%&lt;84%",IF(K16&gt;F99,"&gt;60%&lt;70%",IF(K16&gt;F98,"&gt;50%&lt;60%",IF(K16&gt;F97,"&gt;40%&lt;50%",IF(K16&gt;F96,"&gt;30%&lt;40%",IF(K16&gt;F95,"&gt;16%&lt;30%","&lt;16%")))))))</f>
        <v>&lt;16%</v>
      </c>
      <c r="N16" t="str">
        <f>IF(K16&gt;F108,"&gt;84%",IF(K16&gt;F107,"&gt;70%&lt;84%",IF(K16&gt;F106,"&gt;60%&lt;70%",IF(K16&gt;F105,"&gt;50%&lt;60%",IF(K16&gt;F104,"&gt;40%&lt;50%",IF(K16&gt;F103,"&gt;30%&lt;40%",IF(K16&gt;F102,"&gt;16%&lt;30%","&lt;16%")))))))</f>
        <v>&lt;16%</v>
      </c>
      <c r="O16" s="5">
        <f>IF(L16="&lt;16%",F88,IF(L16="&gt;16%&lt;30%",F89,IF(L16="&gt;30%&lt;40%",F90,IF(L16="&gt;40%&lt;50%",F91,IF(L16="&gt;50%&lt;60%",F92,IF(L16="&gt;60%&lt;70%",F93,IF(L16="&gt;70%&lt;84%",F94,F94)))))))</f>
        <v>10.219381035869418</v>
      </c>
      <c r="P16" s="5">
        <f>IF(M16="&lt;16%",F95,IF(M16="&gt;16%&lt;30%",F96,IF(M16="&gt;30%&lt;40%",F97,IF(M16="&gt;40%&lt;50%",F98,IF(M16="&gt;50%&lt;60%",F99,IF(M16="&gt;60%&lt;70%",F100,IF(M16="&gt;70%&lt;84%",F101,F101)))))))</f>
        <v>6.8129206905796122</v>
      </c>
      <c r="Q16" s="5">
        <f>IF(N16="&lt;16%",F102,IF(N16="&gt;16%&lt;30%",F103,IF(N16="&gt;30%&lt;40%",F104,IF(N16="&gt;40%&lt;50%",F105,IF(N16="&gt;50%&lt;60%",F106,IF(N16="&gt;60%&lt;70%",F107,IF(N16="&gt;70%&lt;84%",F108,F108)))))))</f>
        <v>5.6234132519034911E-2</v>
      </c>
    </row>
    <row r="17" spans="1:25" ht="18" x14ac:dyDescent="0.25">
      <c r="B17" t="s">
        <v>69</v>
      </c>
      <c r="C17">
        <v>1</v>
      </c>
      <c r="D17">
        <v>10</v>
      </c>
      <c r="E17">
        <v>1</v>
      </c>
      <c r="F17">
        <f>F14*POWER(10,C17*E17/D17)</f>
        <v>62.946270589708362</v>
      </c>
      <c r="H17" s="4"/>
      <c r="I17" s="4" t="s">
        <v>167</v>
      </c>
      <c r="J17" t="s">
        <v>95</v>
      </c>
      <c r="K17" s="17">
        <f>(POWER(G$4,C$109)*H$4)</f>
        <v>1.3122944785276074E-3</v>
      </c>
      <c r="L17" t="str">
        <f>IF(K17&gt;F115,"&gt;84%",IF(K17&gt;F114,"&gt;70%&lt;84%",IF(K17&gt;F113,"&gt;60%&lt;70%",IF(K17&gt;F112,"&gt;50%&lt;60%",IF(K17&gt;F111,"&gt;40%&lt;50%",IF(K17&gt;F110,"&gt;30%&lt;40%",IF(K17&gt;F109,"&gt;16%&lt;30%","&lt;16%")))))))</f>
        <v>&lt;16%</v>
      </c>
      <c r="M17" t="str">
        <f>IF(K17&gt;F122,"&gt;84%",IF(K17&gt;F121,"&gt;70%&lt;84%",IF(K17&gt;F120,"&gt;60%&lt;70%",IF(K17&gt;F119,"&gt;50%&lt;60%",IF(K17&gt;F118,"&gt;40%&lt;50%",IF(K17&gt;F117,"&gt;30%&lt;40%",IF(K17&gt;F116,"&gt;16%&lt;30%","&lt;16%")))))))</f>
        <v>&lt;16%</v>
      </c>
      <c r="O17" s="5">
        <f>IF(L17="&lt;16%",F109,IF(L17="&gt;16%&lt;30%",F110,IF(L17="&gt;30%&lt;40%",F111,IF(L17="&gt;40%&lt;50%",F112,IF(L17="&gt;50%&lt;60%",F113,IF(L17="&gt;60%&lt;70%",F114,IF(L17="&gt;70%&lt;84%",F115,F115)))))))</f>
        <v>681.29206905796127</v>
      </c>
      <c r="P17" s="5">
        <f>IF(M17="&lt;16%",F116,IF(M17="&gt;16%&lt;30%",F117,IF(M17="&gt;30%&lt;40%",F118,IF(M17="&gt;40%&lt;50%",F119,IF(M17="&gt;50%&lt;60%",F120,IF(M17="&gt;60%&lt;70%",F121,IF(M17="&gt;70%&lt;84%",F122,F122)))))))</f>
        <v>46.415888336127786</v>
      </c>
      <c r="X17" s="1" t="s">
        <v>88</v>
      </c>
    </row>
    <row r="18" spans="1:25" x14ac:dyDescent="0.2">
      <c r="B18" t="s">
        <v>77</v>
      </c>
      <c r="C18">
        <v>1</v>
      </c>
      <c r="D18">
        <v>5</v>
      </c>
      <c r="E18">
        <v>-1</v>
      </c>
      <c r="F18">
        <f>F21*POWER(10,C18*E18/D18)</f>
        <v>0.63095734448019325</v>
      </c>
      <c r="H18" s="4"/>
      <c r="I18" s="32"/>
      <c r="J18" t="s">
        <v>96</v>
      </c>
      <c r="K18" s="17">
        <f>(POWER(G$4,C$123)*H$4)</f>
        <v>1.3122944785276074E-3</v>
      </c>
      <c r="N18" t="str">
        <f>IF(K18&gt;F129,"&gt;84%",IF(K18&gt;F128,"&gt;70%&lt;84%",IF(K18&gt;F127,"&gt;60%&lt;70%",IF(K18&gt;F126,"&gt;50%&lt;60%",IF(K18&gt;F125,"&gt;40%&lt;50%",IF(K18&gt;F124,"&gt;30%&lt;40%",IF(K18&gt;F123,"&gt;16%&lt;30%","&lt;16%")))))))</f>
        <v>&lt;16%</v>
      </c>
      <c r="Q18" s="5">
        <f>IF(N18="&lt;16%",F123,IF(N18="&gt;16%&lt;30%",F124,IF(N18="&gt;30%&lt;40%",F125,IF(N18="&gt;40%&lt;50%",F126,IF(N18="&gt;50%&lt;60%",F127,IF(N18="&gt;60%&lt;70%",F128,IF(N18="&gt;70%&lt;84%",F129,F129)))))))</f>
        <v>11.603972084031946</v>
      </c>
    </row>
    <row r="19" spans="1:25" ht="18" x14ac:dyDescent="0.25">
      <c r="B19" t="s">
        <v>71</v>
      </c>
      <c r="C19">
        <v>1</v>
      </c>
      <c r="D19">
        <v>5</v>
      </c>
      <c r="E19" s="3">
        <v>-0.52</v>
      </c>
      <c r="F19">
        <f>F21*POWER(10,C19*E19/D19)</f>
        <v>0.78704578969509853</v>
      </c>
      <c r="H19" s="4"/>
      <c r="I19" s="4" t="s">
        <v>168</v>
      </c>
      <c r="J19" t="s">
        <v>95</v>
      </c>
      <c r="K19" s="17">
        <f>(POWER(G$4,C$130)*H$4)</f>
        <v>1.3122944785276074E-3</v>
      </c>
      <c r="L19" t="str">
        <f>IF(K19&gt;F136,"&gt;84%",IF(K19&gt;F135,"&gt;70%&lt;84%",IF(K19&gt;F134,"&gt;60%&lt;70%",IF(K19&gt;F133,"&gt;50%&lt;60%",IF(K19&gt;F132,"&gt;40%&lt;50%",IF(K19&gt;F131,"&gt;30%&lt;40%",IF(K19&gt;F130,"&gt;16%&lt;30%","&lt;16%")))))))</f>
        <v>&lt;16%</v>
      </c>
      <c r="M19" t="str">
        <f>IF(K19&gt;F143,"&gt;84%",IF(K19&gt;F142,"&gt;70%&lt;84%",IF(K19&gt;F141,"&gt;60%&lt;70%",IF(K19&gt;F140,"&gt;50%&lt;60%",IF(K19&gt;F139,"&gt;40%&lt;50%",IF(K19&gt;F138,"&gt;30%&lt;40%",IF(K19&gt;F137,"&gt;16%&lt;30%","&lt;16%")))))))</f>
        <v>&lt;16%</v>
      </c>
      <c r="O19" s="5">
        <f>IF(L19="&lt;16%",F130,IF(L19="&gt;16%&lt;30%",F131,IF(L19="&gt;30%&lt;40%",F132,IF(L19="&gt;40%&lt;50%",F133,IF(L19="&gt;50%&lt;60%",F134,IF(L19="&gt;60%&lt;70%",F135,IF(L19="&gt;70%&lt;84%",F136,F136)))))))</f>
        <v>7196.8567300115201</v>
      </c>
      <c r="P19" s="5">
        <f>IF(M19="&lt;16%",F137,IF(M19="&gt;16%&lt;30%",F138,IF(M19="&gt;30%&lt;40%",F139,IF(M19="&gt;40%&lt;50%",F140,IF(M19="&gt;50%&lt;60%",F141,IF(M19="&gt;60%&lt;70%",F142,IF(M19="&gt;70%&lt;84%",F143,F143)))))))</f>
        <v>232.07944168063892</v>
      </c>
      <c r="X19" s="1" t="s">
        <v>85</v>
      </c>
    </row>
    <row r="20" spans="1:25" x14ac:dyDescent="0.2">
      <c r="B20" t="s">
        <v>72</v>
      </c>
      <c r="C20">
        <v>1</v>
      </c>
      <c r="D20">
        <v>5</v>
      </c>
      <c r="E20" s="3">
        <v>-0.25</v>
      </c>
      <c r="F20">
        <f>F21*POWER(10,C20*E20/D20)</f>
        <v>0.89125093813374545</v>
      </c>
      <c r="H20" s="4"/>
      <c r="J20" t="s">
        <v>96</v>
      </c>
      <c r="K20" s="17">
        <f>(POWER(G$4,C$144)*H$4)</f>
        <v>1.3122944785276074E-3</v>
      </c>
      <c r="N20" t="str">
        <f>IF(K20&gt;F150,"&gt;84%",IF(K20&gt;F149,"&gt;70%&lt;84%",IF(K20&gt;F148,"&gt;60%&lt;70%",IF(K20&gt;F147,"&gt;50%&lt;60%",IF(K20&gt;F146,"&gt;40%&lt;50%",IF(K20&gt;F145,"&gt;30%&lt;40%",IF(K20&gt;F144,"&gt;16%&lt;30%","&lt;16%")))))))</f>
        <v>&lt;16%</v>
      </c>
      <c r="Q20" s="5">
        <f>IF(N20="&lt;16%",F144,IF(N20="&gt;16%&lt;30%",F145,IF(N20="&gt;30%&lt;40%",F146,IF(N20="&gt;40%&lt;50%",F147,IF(N20="&gt;50%&lt;60%",F148,IF(N20="&gt;60%&lt;70%",F149,IF(N20="&gt;70%&lt;84%",F150,F150)))))))</f>
        <v>23.207944168063893</v>
      </c>
    </row>
    <row r="21" spans="1:25" x14ac:dyDescent="0.2">
      <c r="B21" t="s">
        <v>73</v>
      </c>
      <c r="E21" s="3"/>
      <c r="F21">
        <v>1</v>
      </c>
      <c r="H21" s="4"/>
      <c r="I21" s="4" t="s">
        <v>169</v>
      </c>
      <c r="J21" t="s">
        <v>170</v>
      </c>
      <c r="K21" s="17">
        <f>(POWER(G$4,C$151)*H$4)</f>
        <v>1.3122944785276074E-3</v>
      </c>
      <c r="M21" t="str">
        <f>IF(K21&gt;F157,"&gt;84%",IF(K21&gt;F156,"&gt;70%&lt;84%",IF(K21&gt;F155,"&gt;60%&lt;70%",IF(K21&gt;F154,"&gt;50%&lt;60%",IF(K21&gt;F153,"&gt;40%&lt;50%",IF(K21&gt;F152,"&gt;30%&lt;40%",IF(K21&gt;F151,"&gt;16%&lt;30%","&lt;16%")))))))</f>
        <v>&lt;16%</v>
      </c>
      <c r="P21" s="5">
        <f>IF(M21="&lt;16%",F151,IF(M21="&gt;16%&lt;30%",F152,IF(M21="&gt;30%&lt;40%",F153,IF(M21="&gt;40%&lt;50%",F154,IF(M21="&gt;50%&lt;60%",F155,IF(M21="&gt;60%&lt;70%",F156,IF(M21="&gt;70%&lt;84%",F157,F157)))))))</f>
        <v>92.831776672255572</v>
      </c>
    </row>
    <row r="22" spans="1:25" x14ac:dyDescent="0.2">
      <c r="B22" t="s">
        <v>74</v>
      </c>
      <c r="C22">
        <v>1</v>
      </c>
      <c r="D22">
        <v>5</v>
      </c>
      <c r="E22" s="3">
        <v>0.25</v>
      </c>
      <c r="F22">
        <f>F21*POWER(10,C22*E22/D22)</f>
        <v>1.1220184543019636</v>
      </c>
      <c r="J22" t="s">
        <v>96</v>
      </c>
      <c r="K22" s="17">
        <f>(POWER(G$4,C$158)*H$4)</f>
        <v>1.3122944785276074E-3</v>
      </c>
      <c r="N22" t="str">
        <f>IF(K22&gt;F164,"&gt;84%",IF(K22&gt;F163,"&gt;70%&lt;84%",IF(K22&gt;F162,"&gt;60%&lt;70%",IF(K22&gt;F161,"&gt;50%&lt;60%",IF(K22&gt;F160,"&gt;40%&lt;50%",IF(K22&gt;F159,"&gt;30%&lt;40%",IF(K22&gt;F158,"&gt;16%&lt;30%","&lt;16%")))))))</f>
        <v>&lt;16%</v>
      </c>
      <c r="Q22" s="5">
        <f>IF(N22="&lt;16%",F158,IF(N22="&gt;16%&lt;30%",F159,IF(N22="&gt;30%&lt;40%",F160,IF(N22="&gt;40%&lt;50%",F161,IF(N22="&gt;50%&lt;60%",F162,IF(N22="&gt;60%&lt;70%",F163,IF(N22="&gt;70%&lt;84%",F164,F164)))))))</f>
        <v>11.603972084031946</v>
      </c>
    </row>
    <row r="23" spans="1:25" ht="13.5" thickBot="1" x14ac:dyDescent="0.25">
      <c r="B23" t="s">
        <v>75</v>
      </c>
      <c r="C23">
        <v>1</v>
      </c>
      <c r="D23">
        <v>5</v>
      </c>
      <c r="E23" s="3">
        <v>0.52</v>
      </c>
      <c r="F23">
        <f>F21*POWER(10,C23*E23/D23)</f>
        <v>1.2705741052085417</v>
      </c>
    </row>
    <row r="24" spans="1:25" ht="13.5" thickBot="1" x14ac:dyDescent="0.25">
      <c r="B24" t="s">
        <v>76</v>
      </c>
      <c r="C24">
        <v>1</v>
      </c>
      <c r="D24">
        <v>5</v>
      </c>
      <c r="E24">
        <v>1</v>
      </c>
      <c r="F24">
        <f>F21*POWER(10,C24*E24/D24)</f>
        <v>1.5848931924611136</v>
      </c>
      <c r="I24" s="421" t="s">
        <v>157</v>
      </c>
      <c r="J24" s="422"/>
      <c r="K24" s="422"/>
      <c r="L24" s="422"/>
      <c r="M24" s="422"/>
      <c r="N24" s="422"/>
      <c r="O24" s="422"/>
      <c r="P24" s="422"/>
      <c r="Q24" s="423"/>
    </row>
    <row r="25" spans="1:25" x14ac:dyDescent="0.2">
      <c r="A25" t="s">
        <v>78</v>
      </c>
      <c r="B25" t="s">
        <v>57</v>
      </c>
      <c r="C25">
        <v>1</v>
      </c>
      <c r="D25">
        <v>12</v>
      </c>
      <c r="E25">
        <v>-1</v>
      </c>
      <c r="F25">
        <f>F28*POWER(10,C25*E25/D25)</f>
        <v>28.889146484380639</v>
      </c>
      <c r="I25" t="s">
        <v>55</v>
      </c>
      <c r="J25" t="s">
        <v>56</v>
      </c>
      <c r="K25" t="s">
        <v>91</v>
      </c>
      <c r="L25" t="s">
        <v>98</v>
      </c>
      <c r="M25" t="s">
        <v>97</v>
      </c>
      <c r="N25" t="s">
        <v>99</v>
      </c>
      <c r="O25" s="5" t="s">
        <v>103</v>
      </c>
      <c r="P25" s="5" t="s">
        <v>102</v>
      </c>
      <c r="Q25" s="5" t="s">
        <v>101</v>
      </c>
    </row>
    <row r="26" spans="1:25" ht="18" x14ac:dyDescent="0.25">
      <c r="B26" t="s">
        <v>58</v>
      </c>
      <c r="C26">
        <v>1</v>
      </c>
      <c r="D26">
        <v>12</v>
      </c>
      <c r="E26" s="3">
        <v>-0.52</v>
      </c>
      <c r="F26">
        <f>F28*POWER(10,C26*E26/D26)</f>
        <v>31.676319225309925</v>
      </c>
      <c r="I26" s="4" t="s">
        <v>54</v>
      </c>
      <c r="J26" t="s">
        <v>95</v>
      </c>
      <c r="K26" s="17">
        <f>(POWER(G$4,C$4)*H$4)</f>
        <v>1.3122944785276074E-3</v>
      </c>
      <c r="L26" t="str">
        <f>IF(K4&gt;(F10/2),"&gt;84%",IF(K4&gt;(F9/2),"&gt;70%&lt;84%",IF(K4&gt;(F8/2),"&gt;60%&lt;70%",IF(K4&gt;(F7/2),"&gt;50%&lt;60%",IF(K4&gt;(F6/2),"&gt;40%&lt;50%",IF(K4&gt;(F5/2),"&gt;30%&lt;40%",IF(K4&gt;(F4/2),"&gt;16%&lt;30%","&lt;16%")))))))</f>
        <v>&lt;16%</v>
      </c>
      <c r="M26" t="str">
        <f>IF(K4&gt;F17/2,"&gt;84%",IF(K4&gt;F16/2,"&gt;70%&lt;84%",IF(K4&gt;F15/2,"&gt;60%&lt;70%",IF(K4&gt;F14/2,"&gt;50%&lt;60%",IF(K4&gt;F13/2,"&gt;40%&lt;50%",IF(K4&gt;F12/2,"&gt;30%&lt;40%",IF(K4&gt;F11/2,"&gt;16%&lt;30%","&lt;16%")))))))</f>
        <v>&lt;16%</v>
      </c>
      <c r="O26" s="5">
        <f>IF(L26="&lt;16%",F4/2,IF(L26="&gt;16%&lt;30%",F5/2,IF(L26="&gt;30%&lt;40%",F6/2,IF(L26="&gt;40%&lt;50%",F7/2,IF(L26="&gt;50%&lt;60%",F8/2,IF(L26="&gt;60%&lt;70%",F9/2,IF(L26="&gt;70%&lt;84%",F10/2,F10/2)))))))</f>
        <v>28.889146484380639</v>
      </c>
      <c r="P26" s="5">
        <f>IF(M26="&lt;16%",F11/2,IF(M26="&gt;16%&lt;30%",F12/2,IF(M26="&gt;30%&lt;40%",F13/2,IF(M26="&gt;40%&lt;50%",F14/2,IF(M26="&gt;50%&lt;60%",F15/2,IF(M26="&gt;60%&lt;70%",F16/2,IF(M26="&gt;70%&lt;84%",F17/2,F17/2)))))))</f>
        <v>19.858205868107039</v>
      </c>
      <c r="X26" s="1" t="s">
        <v>78</v>
      </c>
    </row>
    <row r="27" spans="1:25" ht="18" x14ac:dyDescent="0.25">
      <c r="B27" t="s">
        <v>59</v>
      </c>
      <c r="C27">
        <v>1</v>
      </c>
      <c r="D27">
        <v>12</v>
      </c>
      <c r="E27" s="3">
        <v>-0.25</v>
      </c>
      <c r="F27">
        <f>F28*POWER(10,C27*E27/D27)</f>
        <v>33.360665913217566</v>
      </c>
      <c r="I27" s="4"/>
      <c r="J27" t="s">
        <v>96</v>
      </c>
      <c r="K27" s="17">
        <f>(POWER(G$4,C$18)*H$4)</f>
        <v>1.3122944785276074E-3</v>
      </c>
      <c r="N27" t="str">
        <f>IF(K5&gt;F24/2,"&gt;84%",IF(K5&gt;F23/2,"&gt;70%&lt;84%",IF(K5&gt;F22/2,"&gt;60%&lt;70%",IF(K5&gt;F21/2,"&gt;50%&lt;60%",IF(K5&gt;F20/2,"&gt;40%&lt;50%",IF(K5&gt;F19/2,"&gt;30%&lt;40%",IF(K5&gt;F18/2,"&gt;16%&lt;30%","&lt;16%")))))))</f>
        <v>&lt;16%</v>
      </c>
      <c r="Q27" s="5">
        <f>IF(N27="&lt;16%",F18/2,IF(N27="&gt;16%&lt;30%",F19/2,IF(N27="&gt;30%&lt;40%",F20/2,IF(N27="&gt;40%&lt;50%",F21/2,IF(N27="&gt;50%&lt;60%",F22/2,IF(N27="&gt;60%&lt;70%",F23/2,IF(N27="&gt;70%&lt;84%",F24/2,F24/2)))))))</f>
        <v>0.31547867224009662</v>
      </c>
      <c r="X27" s="1" t="s">
        <v>2</v>
      </c>
      <c r="Y27" s="1" t="s">
        <v>3</v>
      </c>
    </row>
    <row r="28" spans="1:25" ht="18" x14ac:dyDescent="0.25">
      <c r="B28" t="s">
        <v>60</v>
      </c>
      <c r="E28" s="3"/>
      <c r="F28">
        <v>35</v>
      </c>
      <c r="I28" s="4"/>
      <c r="K28" s="17"/>
      <c r="X28" s="1" t="s">
        <v>9</v>
      </c>
      <c r="Y28" s="1" t="s">
        <v>10</v>
      </c>
    </row>
    <row r="29" spans="1:25" ht="18" x14ac:dyDescent="0.25">
      <c r="B29" t="s">
        <v>61</v>
      </c>
      <c r="C29">
        <v>1</v>
      </c>
      <c r="D29">
        <v>12</v>
      </c>
      <c r="E29" s="3">
        <v>0.25</v>
      </c>
      <c r="F29">
        <f>F28*POWER(10,C29*E29/D29)</f>
        <v>36.719890519770843</v>
      </c>
      <c r="I29" s="4" t="s">
        <v>78</v>
      </c>
      <c r="J29" t="s">
        <v>95</v>
      </c>
      <c r="K29" s="17">
        <f>(POWER(G$4,C$25)*H$4)</f>
        <v>1.3122944785276074E-3</v>
      </c>
      <c r="L29" t="str">
        <f>IF(K7&gt;F31/2,"&gt;84%",IF(K7&gt;F30/2,"&gt;70%&lt;84%",IF(K7&gt;F29/2,"&gt;60%&lt;70%",IF(K7&gt;F28/2,"&gt;50%&lt;60%",IF(K7&gt;F27/2,"&gt;40%&lt;50%",IF(K7&gt;F26/2,"&gt;30%&lt;40%",IF(K7&gt;F25/2,"&gt;16%&lt;30%","&lt;16%")))))))</f>
        <v>&lt;16%</v>
      </c>
      <c r="M29" t="str">
        <f>IF(K7&gt;F38/2,"&gt;84%",IF(K7&gt;F37/2,"&gt;70%&lt;84%",IF(K7&gt;F36/2,"&gt;60%&lt;70%",IF(K7&gt;F35/2,"&gt;50%&lt;60%",IF(K7&gt;F34/2,"&gt;40%&lt;50%",IF(K7&gt;F33/2,"&gt;30%&lt;40%",IF(K7&gt;F32/2,"&gt;16%&lt;30%","&lt;16%")))))))</f>
        <v>&lt;16%</v>
      </c>
      <c r="O29" s="5">
        <f>IF(L29="&lt;16%",F25/2,IF(L29="&gt;16%&lt;30%",F26/2,IF(L29="&gt;30%&lt;40%",F27/2,IF(L29="&gt;40%&lt;50%",F28/2,IF(L29="&gt;50%&lt;60%",F29/2,IF(L29="&gt;60%&lt;70%",F30/2,IF(L29="&gt;70%&lt;84%",F31/2,F31/2)))))))</f>
        <v>14.444573242190319</v>
      </c>
      <c r="P29" s="5">
        <f>IF(M29="&lt;16%",F32/2,IF(M29="&gt;16%&lt;30%",F33/2,IF(M29="&gt;30%&lt;40%",F34/2,IF(M29="&gt;40%&lt;50%",F35/2,IF(M29="&gt;50%&lt;60%",F36/2,IF(M29="&gt;60%&lt;70%",F37/2,IF(M29="&gt;70%&lt;84%",F38/2,F38/2)))))))</f>
        <v>9.9291029340535193</v>
      </c>
      <c r="X29" s="1" t="s">
        <v>11</v>
      </c>
      <c r="Y29" s="1" t="s">
        <v>12</v>
      </c>
    </row>
    <row r="30" spans="1:25" x14ac:dyDescent="0.2">
      <c r="B30" t="s">
        <v>62</v>
      </c>
      <c r="C30">
        <v>1</v>
      </c>
      <c r="D30">
        <v>12</v>
      </c>
      <c r="E30" s="3">
        <v>0.52</v>
      </c>
      <c r="F30">
        <f>F28*POWER(10,C30*E30/D30)</f>
        <v>38.67242248970657</v>
      </c>
      <c r="I30" s="4"/>
      <c r="J30" t="s">
        <v>96</v>
      </c>
      <c r="K30" s="17">
        <f>(POWER(G$4,C$39)*H$4)</f>
        <v>1.3122944785276074E-3</v>
      </c>
      <c r="N30" t="str">
        <f>IF(K7&gt;F45/2,"&gt;84%",IF(K7&gt;F44/2,"&gt;70%&lt;84%",IF(K7&gt;F43/2,"&gt;60%&lt;70%",IF(K7&gt;F42/2,"&gt;50%&lt;60%",IF(K7&gt;F41/2,"&gt;40%&lt;50%",IF(K7&gt;F40/2,"&gt;30%&lt;40%",IF(K7&gt;F39/2,"&gt;16%&lt;30%","&lt;16%")))))))</f>
        <v>&lt;16%</v>
      </c>
      <c r="Q30" s="5">
        <f>IF(N30="&lt;16%",F39/2,IF(N30="&gt;16%&lt;30%",F40/2,IF(N30="&gt;30%&lt;40%",F41/2,IF(N30="&gt;40%&lt;50%",F42/2,IF(N30="&gt;50%&lt;60%",F43/2,IF(N30="&gt;60%&lt;70%",F44/2,IF(N30="&gt;70%&lt;84%",F45/2,F45/2)))))))</f>
        <v>0.31547867224009662</v>
      </c>
    </row>
    <row r="31" spans="1:25" ht="18" x14ac:dyDescent="0.25">
      <c r="B31" t="s">
        <v>63</v>
      </c>
      <c r="C31">
        <v>1</v>
      </c>
      <c r="D31">
        <v>12</v>
      </c>
      <c r="E31">
        <v>1</v>
      </c>
      <c r="F31">
        <f>F28*POWER(10,C31*E31/D31)</f>
        <v>42.403468052000598</v>
      </c>
      <c r="I31" s="4"/>
      <c r="K31" s="17"/>
      <c r="X31" s="1" t="s">
        <v>88</v>
      </c>
    </row>
    <row r="32" spans="1:25" x14ac:dyDescent="0.2">
      <c r="B32" t="s">
        <v>70</v>
      </c>
      <c r="C32">
        <v>1</v>
      </c>
      <c r="D32">
        <v>10</v>
      </c>
      <c r="E32">
        <v>-1</v>
      </c>
      <c r="F32">
        <f>F35*POWER(10,C32*E32/D32)</f>
        <v>19.858205868107039</v>
      </c>
      <c r="I32" s="4" t="s">
        <v>79</v>
      </c>
      <c r="J32" t="s">
        <v>95</v>
      </c>
      <c r="K32" s="17">
        <f>(POWER(G$4,C$46)*H$4)</f>
        <v>1.3122944785276074E-3</v>
      </c>
      <c r="L32" t="str">
        <f>IF(K10&gt;F52/2,"&gt;84%",IF(K10&gt;F51/2,"&gt;70%&lt;84%",IF(K10&gt;F50/2,"&gt;60%&lt;70%",IF(K10&gt;F49/2,"&gt;50%&lt;60%",IF(K10&gt;F48/2,"&gt;40%&lt;50%",IF(K10&gt;F47/2,"&gt;30%&lt;40%",IF(K10&gt;F46/2,"&gt;16%&lt;30%","&lt;16%")))))))</f>
        <v>&lt;16%</v>
      </c>
      <c r="M32" t="str">
        <f>IF(K10&gt;F59/2,"&gt;84%",IF(K10&gt;F58/2,"&gt;70%&lt;84%",IF(K10&gt;F57/2,"&gt;60%&lt;70%",IF(K10&gt;F56/2,"&gt;50%&lt;60%",IF(K10&gt;F55/2,"&gt;40%&lt;50%",IF(K10&gt;F54/2,"&gt;30%&lt;40%",IF(K10&gt;F53/2,"&gt;16%&lt;30%","&lt;16%")))))))</f>
        <v>&lt;16%</v>
      </c>
      <c r="O32" s="5">
        <f>IF(L32="&lt;16%",F46/2,IF(L32="&gt;16%&lt;30%",F47/2,IF(L32="&gt;30%&lt;40%",F48/2,IF(L32="&gt;40%&lt;50%",F49/2,IF(L32="&gt;50%&lt;60%",F50/2,IF(L32="&gt;60%&lt;70%",F51/2,IF(L32="&gt;70%&lt;84%",F52/2,F52/2)))))))</f>
        <v>14.444573242190319</v>
      </c>
      <c r="P32" s="5">
        <f>IF(M32="&lt;16%",F53/2,IF(M32="&gt;16%&lt;30%",F54/2,IF(M32="&gt;30%&lt;40%",F55/2,IF(M32="&gt;40%&lt;50%",F56/2,IF(M32="&gt;50%&lt;60%",F57/2,IF(M32="&gt;60%&lt;70%",F58/2,IF(M32="&gt;70%&lt;84%",F59/2,F59/2)))))))</f>
        <v>9.9291029340535193</v>
      </c>
    </row>
    <row r="33" spans="1:25" ht="18" x14ac:dyDescent="0.25">
      <c r="B33" t="s">
        <v>64</v>
      </c>
      <c r="C33">
        <v>1</v>
      </c>
      <c r="D33">
        <v>10</v>
      </c>
      <c r="E33" s="3">
        <v>-0.52</v>
      </c>
      <c r="F33">
        <f>F35*POWER(10,C33*E33/D33)</f>
        <v>22.178900300949021</v>
      </c>
      <c r="I33" s="4"/>
      <c r="J33" t="s">
        <v>96</v>
      </c>
      <c r="K33" s="17">
        <f>(POWER(G$4,C$60)*H$4)</f>
        <v>1.3122944785276074E-3</v>
      </c>
      <c r="N33" t="str">
        <f>IF(K11&gt;F66/2,"&gt;84%",IF(K11&gt;F65/2,"&gt;70%&lt;84%",IF(K11&gt;F64/2,"&gt;60%&lt;70%",IF(K11&gt;F63/2,"&gt;50%&lt;60%",IF(K11&gt;F62/2,"&gt;40%&lt;50%",IF(K11&gt;F61/2,"&gt;30%&lt;40%",IF(K11&gt;F60/2,"&gt;16%&lt;30%","&lt;16%")))))))</f>
        <v>&lt;16%</v>
      </c>
      <c r="Q33" s="5">
        <f>IF(N33="&lt;16%",F60/2,IF(N33="&gt;16%&lt;30%",F61/2,IF(N33="&gt;30%&lt;40%",F62/2,IF(N33="&gt;40%&lt;50%",F63/2,IF(N33="&gt;50%&lt;60%",F64/2,IF(N33="&gt;60%&lt;70%",F65/2,IF(N33="&gt;70%&lt;84%",F66/2,F66/2)))))))</f>
        <v>0.13625841381159226</v>
      </c>
      <c r="X33" s="1" t="s">
        <v>85</v>
      </c>
    </row>
    <row r="34" spans="1:25" x14ac:dyDescent="0.2">
      <c r="B34" t="s">
        <v>65</v>
      </c>
      <c r="C34">
        <v>1</v>
      </c>
      <c r="D34">
        <v>10</v>
      </c>
      <c r="E34" s="3">
        <v>-0.25</v>
      </c>
      <c r="F34">
        <f>F35*POWER(10,C34*E34/D34)</f>
        <v>23.601521907148086</v>
      </c>
      <c r="I34" s="4"/>
      <c r="K34" s="17"/>
    </row>
    <row r="35" spans="1:25" x14ac:dyDescent="0.2">
      <c r="B35" t="s">
        <v>66</v>
      </c>
      <c r="E35" s="3"/>
      <c r="F35">
        <v>25</v>
      </c>
      <c r="I35" s="4" t="s">
        <v>80</v>
      </c>
      <c r="J35" t="s">
        <v>95</v>
      </c>
      <c r="K35" s="17">
        <f>(POWER(G$4,C$67)*H$4)</f>
        <v>1.3122944785276074E-3</v>
      </c>
      <c r="L35" t="str">
        <f>IF(K13&gt;F73/2,"&gt;84%",IF(K13&gt;F72/2,"&gt;70%&lt;84%",IF(K13&gt;F71/2,"&gt;60%&lt;70%",IF(K13&gt;F70/2,"&gt;50%&lt;60%",IF(K13&gt;F69/2,"&gt;40%&lt;50%",IF(K13&gt;F68/2,"&gt;30%&lt;40%",IF(K13&gt;F67/2,"&gt;16%&lt;30%","&lt;16%")))))))</f>
        <v>&lt;16%</v>
      </c>
      <c r="M35" t="str">
        <f>IF(K13&gt;F80/2,"&gt;84%",IF(K13&gt;F79/2,"&gt;70%&lt;84%",IF(K13&gt;F78/2,"&gt;60%&lt;70%",IF(K13&gt;F77/2,"&gt;50%&lt;60%",IF(K13&gt;F76/2,"&gt;40%&lt;50%",IF(K13&gt;F75/2,"&gt;30%&lt;40%",IF(K13&gt;F74/2,"&gt;16%&lt;30%","&lt;16%")))))))</f>
        <v>&lt;16%</v>
      </c>
      <c r="O35" s="5">
        <f>IF(L35="&lt;16%",F67/2,IF(L35="&gt;16%&lt;30%",F68/2,IF(L35="&gt;30%&lt;40%",F69/2,IF(L35="&gt;40%&lt;50%",F70/2,IF(L35="&gt;50%&lt;60%",F71/2,IF(L35="&gt;60%&lt;70%",F72/2,IF(L35="&gt;70%&lt;84%",F73/2,F73/2)))))))</f>
        <v>14.444573242190319</v>
      </c>
      <c r="P35" s="5">
        <f>IF(M35="&lt;16%",F74/2,IF(M35="&gt;16%&lt;30%",F75/2,IF(M35="&gt;30%&lt;40%",F76/2,IF(M35="&gt;40%&lt;50%",F77/2,IF(M35="&gt;50%&lt;60%",F78/2,IF(M35="&gt;60%&lt;70%",F79/2,IF(M35="&gt;70%&lt;84%",F80/2,F80/2)))))))</f>
        <v>9.9291029340535193</v>
      </c>
    </row>
    <row r="36" spans="1:25" x14ac:dyDescent="0.2">
      <c r="B36" t="s">
        <v>67</v>
      </c>
      <c r="C36">
        <v>1</v>
      </c>
      <c r="D36">
        <v>10</v>
      </c>
      <c r="E36" s="3">
        <v>0.25</v>
      </c>
      <c r="F36">
        <f>F35*POWER(10,C36*E36/D36)</f>
        <v>26.481343129432222</v>
      </c>
      <c r="I36" s="4"/>
      <c r="J36" t="s">
        <v>96</v>
      </c>
      <c r="K36" s="17">
        <f>(POWER(G$4,C$81)*H$4)</f>
        <v>1.3122944785276074E-3</v>
      </c>
      <c r="N36" t="str">
        <f>IF(K14&gt;F87/2,"&gt;84%",IF(K14&gt;F86/2,"&gt;70%&lt;84%",IF(K14&gt;F85/2,"&gt;60%&lt;70%",IF(K14&gt;F84/2,"&gt;50%&lt;60%",IF(K14&gt;F83/2,"&gt;40%&lt;50%",IF(K14&gt;F82/2,"&gt;30%&lt;40%",IF(K14&gt;F81/2,"&gt;16%&lt;30%","&lt;16%")))))))</f>
        <v>&lt;16%</v>
      </c>
      <c r="Q36" s="5">
        <f>IF(N36="&lt;16%",F81/2,IF(N36="&gt;16%&lt;30%",F82/2,IF(N36="&gt;30%&lt;40%",F83/2,IF(N36="&gt;40%&lt;50%",F84/2,IF(N36="&gt;50%&lt;60%",F85/2,IF(N36="&gt;60%&lt;70%",F86/2,IF(N36="&gt;70%&lt;84%",F87/2,F87/2)))))))</f>
        <v>0.12619146889603866</v>
      </c>
    </row>
    <row r="37" spans="1:25" x14ac:dyDescent="0.2">
      <c r="B37" t="s">
        <v>68</v>
      </c>
      <c r="C37">
        <v>1</v>
      </c>
      <c r="D37">
        <v>10</v>
      </c>
      <c r="E37" s="3">
        <v>0.52</v>
      </c>
      <c r="F37">
        <f>F35*POWER(10,C37*E37/D37)</f>
        <v>28.17993640438776</v>
      </c>
      <c r="I37" s="4"/>
      <c r="K37" s="17"/>
    </row>
    <row r="38" spans="1:25" x14ac:dyDescent="0.2">
      <c r="B38" t="s">
        <v>69</v>
      </c>
      <c r="C38">
        <v>1</v>
      </c>
      <c r="D38">
        <v>10</v>
      </c>
      <c r="E38">
        <v>1</v>
      </c>
      <c r="F38">
        <f>F35*POWER(10,C38*E38/D38)</f>
        <v>31.473135294854181</v>
      </c>
      <c r="I38" s="4" t="s">
        <v>81</v>
      </c>
      <c r="J38" t="s">
        <v>100</v>
      </c>
      <c r="K38" s="17">
        <f>(POWER(G$4,C$88)*H$4)</f>
        <v>1.3122944785276074E-3</v>
      </c>
      <c r="L38" t="str">
        <f>IF(K16&gt;F94/2,"&gt;84%",IF(K16&gt;F93/2,"&gt;70%&lt;84%",IF(K16&gt;F92/2,"&gt;60%&lt;70%",IF(K16&gt;F91/2,"&gt;50%&lt;60%",IF(K16&gt;F90/2,"&gt;40%&lt;50%",IF(K16&gt;F89/2,"&gt;30%&lt;40%",IF(K16&gt;F88/2,"&gt;16%&lt;30%","&lt;16%")))))))</f>
        <v>&lt;16%</v>
      </c>
      <c r="M38" t="str">
        <f>IF(K16&gt;F101/2,"&gt;84%",IF(K16&gt;F100/2,"&gt;70%&lt;84%",IF(K16&gt;F99/2,"&gt;60%&lt;70%",IF(K16&gt;F98/2,"&gt;50%&lt;60%",IF(K16&gt;F97/2,"&gt;40%&lt;50%",IF(K16&gt;F96/2,"&gt;30%&lt;40%",IF(K16&gt;F95/2,"&gt;16%&lt;30%","&lt;16%")))))))</f>
        <v>&lt;16%</v>
      </c>
      <c r="N38" t="str">
        <f>IF(K16&gt;F108/2,"&gt;84%",IF(K16&gt;F107/2,"&gt;70%&lt;84%",IF(K16&gt;F106/2,"&gt;60%&lt;70%",IF(K16&gt;F105/2,"&gt;50%&lt;60%",IF(K16&gt;F104/2,"&gt;40%&lt;50%",IF(K16&gt;F103/2,"&gt;30%&lt;40%",IF(K16&gt;F102/2,"&gt;16%&lt;30%","&lt;16%")))))))</f>
        <v>&lt;16%</v>
      </c>
      <c r="O38" s="5">
        <f>IF(L38="&lt;16%",F88/2,IF(L38="&gt;16%&lt;30%",F89/2,IF(L38="&gt;30%&lt;40%",F90/2,IF(L38="&gt;40%&lt;50%",F91/2,IF(L38="&gt;50%&lt;60%",F92/2,IF(L38="&gt;60%&lt;70%",F93/2,IF(L38="&gt;70%&lt;84%",F94/2,F94/2)))))))</f>
        <v>5.109690517934709</v>
      </c>
      <c r="P38" s="5">
        <f>IF(M38="&lt;16%",F95/2,IF(M38="&gt;16%&lt;30%",F96/2,IF(M38="&gt;30%&lt;40%",F97/2,IF(M38="&gt;40%&lt;50%",F98/2,IF(M38="&gt;50%&lt;60%",F99/2,IF(M38="&gt;60%&lt;70%",F100/2,IF(M38="&gt;70%&lt;84%",F101/2,F101/2)))))))</f>
        <v>3.4064603452898061</v>
      </c>
      <c r="Q38" s="5">
        <f>IF(N38="&lt;16%",F102/2,IF(N38="&gt;16%&lt;30%",F103/2,IF(N38="&gt;30%&lt;40%",F104/2,IF(N38="&gt;40%&lt;50%",F105/2,IF(N38="&gt;50%&lt;60%",F106/2,IF(N38="&gt;60%&lt;70%",F107/2,IF(N38="&gt;70%&lt;84%",F108/2,F108/2)))))))</f>
        <v>2.8117066259517456E-2</v>
      </c>
    </row>
    <row r="39" spans="1:25" x14ac:dyDescent="0.2">
      <c r="B39" t="s">
        <v>77</v>
      </c>
      <c r="C39">
        <v>1</v>
      </c>
      <c r="D39">
        <v>5</v>
      </c>
      <c r="E39">
        <v>-1</v>
      </c>
      <c r="F39">
        <f>F42*POWER(10,C39*E39/D39)</f>
        <v>0.63095734448019325</v>
      </c>
      <c r="I39" s="4" t="s">
        <v>167</v>
      </c>
      <c r="J39" t="s">
        <v>95</v>
      </c>
      <c r="K39" s="17">
        <f>(POWER(G$4,C$109)*H$4)</f>
        <v>1.3122944785276074E-3</v>
      </c>
      <c r="L39" t="str">
        <f>IF(K39&gt;F115/2,"&gt;84%",IF(K39&gt;F114/2,"&gt;70%&lt;84%",IF(K39&gt;F113/2,"&gt;60%&lt;70%",IF(K39&gt;F112/2,"&gt;50%&lt;60%",IF(K39&gt;F111/2,"&gt;40%&lt;50%",IF(K39&gt;F110/2,"&gt;30%&lt;40%",IF(K39&gt;F109/2,"&gt;16%&lt;30%","&lt;16%")))))))</f>
        <v>&lt;16%</v>
      </c>
      <c r="M39" t="str">
        <f>IF(K39&gt;F122/2,"&gt;84%",IF(K39&gt;F121/2,"&gt;70%&lt;84%",IF(K39&gt;F120/2,"&gt;60%&lt;70%",IF(K39&gt;F119/2,"&gt;50%&lt;60%",IF(K39&gt;F118/2,"&gt;40%&lt;50%",IF(K39&gt;F117/2,"&gt;30%&lt;40%",IF(K39&gt;F116/2,"&gt;16%&lt;30%","&lt;16%")))))))</f>
        <v>&lt;16%</v>
      </c>
      <c r="O39" s="5">
        <f>IF(L39="&lt;16%",F109/2,IF(L39="&gt;16%&lt;30%",F110/2,IF(L39="&gt;30%&lt;40%",F111/2,IF(L39="&gt;40%&lt;50%",F112/2,IF(L39="&gt;50%&lt;60%",F113/2,IF(L39="&gt;60%&lt;70%",F114/2,IF(L39="&gt;70%&lt;84%",F115/2,F115/2)))))))</f>
        <v>340.64603452898064</v>
      </c>
      <c r="P39" s="5">
        <f>IF(M39="&lt;16%",F116/2,IF(M39="&gt;16%&lt;30%",F117/2,IF(M39="&gt;30%&lt;40%",F118/2,IF(M39="&gt;40%&lt;50%",F119/2,IF(M39="&gt;50%&lt;60%",F120/2,IF(M39="&gt;60%&lt;70%",F121/2,IF(M39="&gt;70%&lt;84%",F122/2,F122/2)))))))</f>
        <v>23.207944168063893</v>
      </c>
    </row>
    <row r="40" spans="1:25" x14ac:dyDescent="0.2">
      <c r="B40" t="s">
        <v>71</v>
      </c>
      <c r="C40">
        <v>1</v>
      </c>
      <c r="D40">
        <v>5</v>
      </c>
      <c r="E40" s="3">
        <v>-0.52</v>
      </c>
      <c r="F40">
        <f>F42*POWER(10,C40*E40/D40)</f>
        <v>0.78704578969509853</v>
      </c>
      <c r="I40" s="32"/>
      <c r="J40" t="s">
        <v>96</v>
      </c>
      <c r="K40" s="17">
        <f>(POWER(G$4,C$123)*H$4)</f>
        <v>1.3122944785276074E-3</v>
      </c>
      <c r="N40" t="str">
        <f>IF(K40&gt;F129/2,"&gt;84%",IF(K40&gt;F128/2,"&gt;70%&lt;84%",IF(K40&gt;F127/2,"&gt;60%&lt;70%",IF(K40&gt;F126/2,"&gt;50%&lt;60%",IF(K40&gt;F125/2,"&gt;40%&lt;50%",IF(K40&gt;F124/2,"&gt;30%&lt;40%",IF(K40&gt;F123/2,"&gt;16%&lt;30%","&lt;16%")))))))</f>
        <v>&lt;16%</v>
      </c>
      <c r="Q40" s="5">
        <f>IF(N40="&lt;16%",F123/2,IF(N40="&gt;16%&lt;30%",F124/2,IF(N40="&gt;30%&lt;40%",F125/2,IF(N40="&gt;40%&lt;50%",F126/2,IF(N40="&gt;50%&lt;60%",F127/2,IF(N40="&gt;60%&lt;70%",F128/2,IF(N40="&gt;70%&lt;84%",F129/2,F129/2)))))))</f>
        <v>5.8019860420159732</v>
      </c>
    </row>
    <row r="41" spans="1:25" x14ac:dyDescent="0.2">
      <c r="B41" t="s">
        <v>72</v>
      </c>
      <c r="C41">
        <v>1</v>
      </c>
      <c r="D41">
        <v>5</v>
      </c>
      <c r="E41" s="3">
        <v>-0.25</v>
      </c>
      <c r="F41">
        <f>F42*POWER(10,C41*E41/D41)</f>
        <v>0.89125093813374545</v>
      </c>
      <c r="I41" s="4" t="s">
        <v>168</v>
      </c>
      <c r="J41" t="s">
        <v>95</v>
      </c>
      <c r="K41" s="17">
        <f>(POWER(G$4,C$130)*H$4)</f>
        <v>1.3122944785276074E-3</v>
      </c>
      <c r="L41" t="str">
        <f>IF(K19&gt;F136/2,"&gt;84%",IF(K19&gt;F135/2,"&gt;70%&lt;84%",IF(K19&gt;F134/2,"&gt;60%&lt;70%",IF(K19&gt;F133/2,"&gt;50%&lt;60%",IF(K19&gt;F132/2,"&gt;40%&lt;50%",IF(K19&gt;F131/2,"&gt;30%&lt;40%",IF(K19&gt;F130/2,"&gt;16%&lt;30%","&lt;16%")))))))</f>
        <v>&lt;16%</v>
      </c>
      <c r="M41" t="str">
        <f>IF(K19&gt;F143/2,"&gt;84%",IF(K19&gt;F142/2,"&gt;70%&lt;84%",IF(K19&gt;F141/2,"&gt;60%&lt;70%",IF(K19&gt;F140/2,"&gt;50%&lt;60%",IF(K19&gt;F139/2,"&gt;40%&lt;50%",IF(K19&gt;F138/2,"&gt;30%&lt;40%",IF(K19&gt;F137/2,"&gt;16%&lt;30%","&lt;16%")))))))</f>
        <v>&lt;16%</v>
      </c>
      <c r="O41" s="5">
        <f>IF(L41="&lt;16%",F130/2,IF(L41="&gt;16%&lt;30%",F131/2,IF(L41="&gt;30%&lt;40%",F132/2,IF(L41="&gt;40%&lt;50%",F133/2,IF(L41="&gt;50%&lt;60%",F134/2,IF(L41="&gt;60%&lt;70%",F135/2,IF(L41="&gt;70%&lt;84%",F136/2,F136/2)))))))</f>
        <v>3598.42836500576</v>
      </c>
      <c r="P41" s="5">
        <f>IF(M41="&lt;16%",F137/2,IF(M41="&gt;16%&lt;30%",F138/2,IF(M41="&gt;30%&lt;40%",F139/2,IF(M41="&gt;40%&lt;50%",F140/2,IF(M41="&gt;50%&lt;60%",F141/2,IF(M41="&gt;60%&lt;70%",F142/2,IF(M41="&gt;70%&lt;84%",F143/2,F143/2)))))))</f>
        <v>116.03972084031946</v>
      </c>
    </row>
    <row r="42" spans="1:25" x14ac:dyDescent="0.2">
      <c r="B42" t="s">
        <v>73</v>
      </c>
      <c r="E42" s="3"/>
      <c r="F42">
        <v>1</v>
      </c>
      <c r="J42" t="s">
        <v>96</v>
      </c>
      <c r="K42" s="17">
        <f>(POWER(G$4,C$144)*H$4)</f>
        <v>1.3122944785276074E-3</v>
      </c>
      <c r="N42" t="str">
        <f>IF(K42&gt;F150/2,"&gt;84%",IF(K42&gt;F149/2,"&gt;70%&lt;84%",IF(K42&gt;F148/2,"&gt;60%&lt;70%",IF(K42&gt;F147/2,"&gt;50%&lt;60%",IF(K42&gt;F146/2,"&gt;40%&lt;50%",IF(K42&gt;F145/2,"&gt;30%&lt;40%",IF(K42&gt;F144/2,"&gt;16%&lt;30%","&lt;16%")))))))</f>
        <v>&lt;16%</v>
      </c>
      <c r="O42"/>
      <c r="Q42" s="5">
        <f>IF(N42="&lt;16%",F144/2,IF(N42="&gt;16%&lt;30%",F145/2,IF(N42="&gt;30%&lt;40%",F146/2,IF(N42="&gt;40%&lt;50%",F147/2,IF(N42="&gt;50%&lt;60%",F148/2,IF(N42="&gt;60%&lt;70%",F149/2,IF(N42="&gt;70%&lt;84%",F150/2,F150/2)))))))</f>
        <v>11.603972084031946</v>
      </c>
    </row>
    <row r="43" spans="1:25" x14ac:dyDescent="0.2">
      <c r="B43" t="s">
        <v>74</v>
      </c>
      <c r="C43">
        <v>1</v>
      </c>
      <c r="D43">
        <v>5</v>
      </c>
      <c r="E43" s="3">
        <v>0.25</v>
      </c>
      <c r="F43">
        <f>F42*POWER(10,C43*E43/D43)</f>
        <v>1.1220184543019636</v>
      </c>
      <c r="I43" s="4" t="s">
        <v>169</v>
      </c>
      <c r="J43" t="s">
        <v>170</v>
      </c>
      <c r="K43" s="17">
        <f>(POWER(G$4,C$151)*H$4)</f>
        <v>1.3122944785276074E-3</v>
      </c>
      <c r="M43" t="str">
        <f>IF(K21&gt;F157/2,"&gt;84%",IF(K21&gt;F156/2,"&gt;70%&lt;84%",IF(K21&gt;F155/2,"&gt;60%&lt;70%",IF(K21&gt;F154/2,"&gt;50%&lt;60%",IF(K21&gt;F153/2,"&gt;40%&lt;50%",IF(K21&gt;F152/2,"&gt;30%&lt;40%",IF(K21&gt;F151/2,"&gt;16%&lt;30%","&lt;16%")))))))</f>
        <v>&lt;16%</v>
      </c>
      <c r="O43"/>
      <c r="P43" s="5">
        <f>IF(M43="&lt;16%",F151/2,IF(M43="&gt;16%&lt;30%",F152/2,IF(M43="&gt;30%&lt;40%",F153/2,IF(M43="&gt;40%&lt;50%",F154/2,IF(M43="&gt;50%&lt;60%",F155/2,IF(M43="&gt;60%&lt;70%",F156/2,IF(M43="&gt;70%&lt;84%",F157/2,F157/2)))))))</f>
        <v>46.415888336127786</v>
      </c>
    </row>
    <row r="44" spans="1:25" x14ac:dyDescent="0.2">
      <c r="B44" t="s">
        <v>75</v>
      </c>
      <c r="C44">
        <v>1</v>
      </c>
      <c r="D44">
        <v>5</v>
      </c>
      <c r="E44" s="3">
        <v>0.52</v>
      </c>
      <c r="F44">
        <f>F42*POWER(10,C44*E44/D44)</f>
        <v>1.2705741052085417</v>
      </c>
      <c r="J44" t="s">
        <v>96</v>
      </c>
      <c r="K44" s="17">
        <f>(POWER(G$4,C$158)*H$4)</f>
        <v>1.3122944785276074E-3</v>
      </c>
      <c r="N44" t="str">
        <f>IF(K44&gt;F164/2,"&gt;84%",IF(K44&gt;F163/2,"&gt;70%&lt;84%",IF(K44&gt;F162/2,"&gt;60%&lt;70%",IF(K44&gt;F161/2,"&gt;50%&lt;60%",IF(K44&gt;F160/2,"&gt;40%&lt;50%",IF(K44&gt;F159/2,"&gt;30%&lt;40%",IF(K44&gt;F158/2,"&gt;16%&lt;30%","&lt;16%")))))))</f>
        <v>&lt;16%</v>
      </c>
      <c r="O44"/>
      <c r="Q44" s="5">
        <f>IF(N44="&lt;16%",F158/2,IF(N44="&gt;16%&lt;30%",F159/2,IF(N44="&gt;30%&lt;40%",F160/2,IF(N44="&gt;40%&lt;50%",F161/2,IF(N44="&gt;50%&lt;60%",F162/2,IF(N44="&gt;60%&lt;70%",F163/2,IF(N44="&gt;70%&lt;84%",F11464/2,F164/2)))))))</f>
        <v>5.8019860420159732</v>
      </c>
    </row>
    <row r="45" spans="1:25" ht="13.5" thickBot="1" x14ac:dyDescent="0.25">
      <c r="B45" t="s">
        <v>76</v>
      </c>
      <c r="C45">
        <v>1</v>
      </c>
      <c r="D45">
        <v>5</v>
      </c>
      <c r="E45">
        <v>1</v>
      </c>
      <c r="F45">
        <f>F42*POWER(10,C45*E45/D45)</f>
        <v>1.5848931924611136</v>
      </c>
    </row>
    <row r="46" spans="1:25" ht="13.5" thickBot="1" x14ac:dyDescent="0.25">
      <c r="A46" t="s">
        <v>79</v>
      </c>
      <c r="B46" t="s">
        <v>57</v>
      </c>
      <c r="C46">
        <v>1</v>
      </c>
      <c r="D46">
        <v>12</v>
      </c>
      <c r="E46">
        <v>-1</v>
      </c>
      <c r="F46">
        <f>F49*POWER(10,C46*E46/D46)</f>
        <v>28.889146484380639</v>
      </c>
      <c r="I46" s="421" t="s">
        <v>158</v>
      </c>
      <c r="J46" s="422"/>
      <c r="K46" s="422"/>
      <c r="L46" s="422"/>
      <c r="M46" s="422"/>
      <c r="N46" s="422"/>
      <c r="O46" s="422"/>
      <c r="P46" s="422"/>
      <c r="Q46" s="423"/>
    </row>
    <row r="47" spans="1:25" ht="18" x14ac:dyDescent="0.25">
      <c r="B47" t="s">
        <v>58</v>
      </c>
      <c r="C47">
        <v>1</v>
      </c>
      <c r="D47">
        <v>12</v>
      </c>
      <c r="E47" s="3">
        <v>-0.52</v>
      </c>
      <c r="F47">
        <f>F49*POWER(10,C47*E47/D47)</f>
        <v>31.676319225309925</v>
      </c>
      <c r="I47" t="s">
        <v>55</v>
      </c>
      <c r="J47" t="s">
        <v>56</v>
      </c>
      <c r="K47" t="s">
        <v>91</v>
      </c>
      <c r="L47" t="s">
        <v>98</v>
      </c>
      <c r="M47" t="s">
        <v>97</v>
      </c>
      <c r="N47" t="s">
        <v>99</v>
      </c>
      <c r="O47" s="5" t="s">
        <v>103</v>
      </c>
      <c r="P47" s="5" t="s">
        <v>102</v>
      </c>
      <c r="Q47" s="5" t="s">
        <v>101</v>
      </c>
      <c r="X47" s="1" t="s">
        <v>79</v>
      </c>
    </row>
    <row r="48" spans="1:25" ht="18" x14ac:dyDescent="0.25">
      <c r="B48" t="s">
        <v>59</v>
      </c>
      <c r="C48">
        <v>1</v>
      </c>
      <c r="D48">
        <v>12</v>
      </c>
      <c r="E48" s="3">
        <v>-0.25</v>
      </c>
      <c r="F48">
        <f>F49*POWER(10,C48*E48/D48)</f>
        <v>33.360665913217566</v>
      </c>
      <c r="I48" s="4" t="s">
        <v>54</v>
      </c>
      <c r="J48" t="s">
        <v>95</v>
      </c>
      <c r="K48" s="17">
        <f>(POWER(G$4,C$4)*H$4)</f>
        <v>1.3122944785276074E-3</v>
      </c>
      <c r="L48" t="str">
        <f>IF(K4&gt;(F10/3),"&gt;84%",IF(K4&gt;(F9/3),"&gt;70%&lt;84%",IF(K4&gt;(F8/3),"&gt;60%&lt;70%",IF(K4&gt;(F7/3),"&gt;50%&lt;60%",IF(K4&gt;(F6/3),"&gt;40%&lt;50%",IF(K4&gt;(F5/3),"&gt;30%&lt;40%",IF(K4&gt;(F4/3),"&gt;16%&lt;30%","&lt;16%")))))))</f>
        <v>&lt;16%</v>
      </c>
      <c r="M48" t="str">
        <f>IF(K4&gt;F17/3,"&gt;84%",IF(K4&gt;F16/3,"&gt;70%&lt;84%",IF(K4&gt;F15/3,"&gt;60%&lt;70%",IF(K4&gt;F14/3,"&gt;50%&lt;60%",IF(K4&gt;F13/3,"&gt;40%&lt;50%",IF(K4&gt;F12/3,"&gt;30%&lt;40%",IF(K4&gt;F11/3,"&gt;16%&lt;30%","&lt;16%")))))))</f>
        <v>&lt;16%</v>
      </c>
      <c r="O48" s="5">
        <f>IF(L48="&lt;16%",F4/3,IF(L48="&gt;16%&lt;30%",F5/3,IF(L48="&gt;30%&lt;40%",F6/3,IF(L48="&gt;40%&lt;50%",F7/3,IF(L48="&gt;50%&lt;60%",F8/3,IF(L48="&gt;60%&lt;70%",F9/3,IF(L48="&gt;70%&lt;84%",F10/3,F10/3)))))))</f>
        <v>19.259430989587091</v>
      </c>
      <c r="P48" s="5">
        <f>IF(M48="&lt;16%",F11/3,IF(M48="&gt;16%&lt;30%",F12/3,IF(M48="&gt;30%&lt;40%",F13/3,IF(M48="&gt;40%&lt;50%",F14/3,IF(M48="&gt;50%&lt;60%",F15/3,IF(M48="&gt;60%&lt;70%",F16/3,IF(M48="&gt;70%&lt;84%",F17/3,F17/3)))))))</f>
        <v>13.23880391207136</v>
      </c>
      <c r="X48" s="1" t="s">
        <v>2</v>
      </c>
      <c r="Y48" s="1" t="s">
        <v>27</v>
      </c>
    </row>
    <row r="49" spans="2:25" ht="18" x14ac:dyDescent="0.25">
      <c r="B49" t="s">
        <v>60</v>
      </c>
      <c r="E49" s="3"/>
      <c r="F49">
        <v>35</v>
      </c>
      <c r="I49" s="4"/>
      <c r="J49" t="s">
        <v>96</v>
      </c>
      <c r="K49" s="17">
        <f>(POWER(G$4,C$18)*H$4)</f>
        <v>1.3122944785276074E-3</v>
      </c>
      <c r="N49" t="str">
        <f>IF(K5&gt;F24/3,"&gt;84%",IF(K5&gt;F23/3,"&gt;70%&lt;84%",IF(K5&gt;F22/3,"&gt;60%&lt;70%",IF(K5&gt;F21/3,"&gt;50%&lt;60%",IF(K5&gt;F20/3,"&gt;40%&lt;50%",IF(K5&gt;F19/3,"&gt;30%&lt;40%",IF(K5&gt;F18/3,"&gt;16%&lt;30%","&lt;16%")))))))</f>
        <v>&lt;16%</v>
      </c>
      <c r="Q49" s="5">
        <f>IF(N49="&lt;16%",F18/3,IF(N49="&gt;16%&lt;30%",F19/3,IF(N49="&gt;30%&lt;40%",F20/3,IF(N49="&gt;40%&lt;50%",F21/3,IF(N49="&gt;50%&lt;60%",F22/3,IF(N49="&gt;60%&lt;70%",F23/3,IF(N49="&gt;70%&lt;84%",F24/3,F24/3)))))))</f>
        <v>0.21031911482673107</v>
      </c>
      <c r="X49" s="1" t="s">
        <v>9</v>
      </c>
      <c r="Y49" s="1" t="s">
        <v>28</v>
      </c>
    </row>
    <row r="50" spans="2:25" ht="18" x14ac:dyDescent="0.25">
      <c r="B50" t="s">
        <v>61</v>
      </c>
      <c r="C50">
        <v>1</v>
      </c>
      <c r="D50">
        <v>12</v>
      </c>
      <c r="E50" s="3">
        <v>0.25</v>
      </c>
      <c r="F50">
        <f>F49*POWER(10,C50*E50/D50)</f>
        <v>36.719890519770843</v>
      </c>
      <c r="I50" s="4"/>
      <c r="K50" s="17"/>
      <c r="X50" s="1" t="s">
        <v>11</v>
      </c>
      <c r="Y50" s="1" t="s">
        <v>29</v>
      </c>
    </row>
    <row r="51" spans="2:25" x14ac:dyDescent="0.2">
      <c r="B51" t="s">
        <v>62</v>
      </c>
      <c r="C51">
        <v>1</v>
      </c>
      <c r="D51">
        <v>12</v>
      </c>
      <c r="E51" s="3">
        <v>0.52</v>
      </c>
      <c r="F51">
        <f>F49*POWER(10,C51*E51/D51)</f>
        <v>38.67242248970657</v>
      </c>
      <c r="I51" s="4" t="s">
        <v>78</v>
      </c>
      <c r="J51" t="s">
        <v>95</v>
      </c>
      <c r="K51" s="17">
        <f>(POWER(G$4,C$25)*H$4)</f>
        <v>1.3122944785276074E-3</v>
      </c>
      <c r="L51" t="str">
        <f>IF(K7&gt;F31/3,"&gt;84%",IF(K7&gt;F30/3,"&gt;70%&lt;84%",IF(K7&gt;F29/3,"&gt;60%&lt;70%",IF(K7&gt;F28/3,"&gt;50%&lt;60%",IF(K7&gt;F27/3,"&gt;40%&lt;50%",IF(K7&gt;F26/3,"&gt;30%&lt;40%",IF(K7&gt;F25/3,"&gt;16%&lt;30%","&lt;16%")))))))</f>
        <v>&lt;16%</v>
      </c>
      <c r="M51" t="str">
        <f>IF(K7&gt;F38/3,"&gt;84%",IF(K7&gt;F37/3,"&gt;70%&lt;84%",IF(K7&gt;F36/3,"&gt;60%&lt;70%",IF(K7&gt;F35/3,"&gt;50%&lt;60%",IF(K7&gt;F34/3,"&gt;40%&lt;50%",IF(K7&gt;F33/3,"&gt;30%&lt;40%",IF(K7&gt;F32/3,"&gt;16%&lt;30%","&lt;16%")))))))</f>
        <v>&lt;16%</v>
      </c>
      <c r="O51" s="5">
        <f>IF(L51="&lt;16%",F25/3,IF(L51="&gt;16%&lt;30%",F26/3,IF(L51="&gt;30%&lt;40%",F27/3,IF(L51="&gt;40%&lt;50%",F28/3,IF(L51="&gt;50%&lt;60%",F29/3,IF(L51="&gt;60%&lt;70%",F30/3,IF(L51="&gt;70%&lt;84%",F31/3,F31/3)))))))</f>
        <v>9.6297154947935457</v>
      </c>
      <c r="P51" s="5">
        <f>IF(M51="&lt;16%",F32/3,IF(M51="&gt;16%&lt;30%",F33/3,IF(M51="&gt;30%&lt;40%",F34/3,IF(M51="&gt;40%&lt;50%",F35/3,IF(M51="&gt;50%&lt;60%",F36/3,IF(M51="&gt;60%&lt;70%",F37/3,IF(M51="&gt;70%&lt;84%",F38/3,F38/3)))))))</f>
        <v>6.6194019560356798</v>
      </c>
    </row>
    <row r="52" spans="2:25" ht="18" x14ac:dyDescent="0.25">
      <c r="B52" t="s">
        <v>63</v>
      </c>
      <c r="C52">
        <v>1</v>
      </c>
      <c r="D52">
        <v>12</v>
      </c>
      <c r="E52">
        <v>1</v>
      </c>
      <c r="F52">
        <f>F49*POWER(10,C52*E52/D52)</f>
        <v>42.403468052000598</v>
      </c>
      <c r="I52" s="4"/>
      <c r="J52" t="s">
        <v>96</v>
      </c>
      <c r="K52" s="17">
        <f>(POWER(G$4,C$39)*H$4)</f>
        <v>1.3122944785276074E-3</v>
      </c>
      <c r="N52" t="str">
        <f>IF(K7&gt;F45/3,"&gt;84%",IF(K7&gt;F44/3,"&gt;70%&lt;84%",IF(K7&gt;F43/3,"&gt;60%&lt;70%",IF(K7&gt;F42/3,"&gt;50%&lt;60%",IF(K7&gt;F41/3,"&gt;40%&lt;50%",IF(K7&gt;F40/3,"&gt;30%&lt;40%",IF(K7&gt;F39/3,"&gt;16%&lt;30%","&lt;16%")))))))</f>
        <v>&lt;16%</v>
      </c>
      <c r="Q52" s="5">
        <f>IF(N52="&lt;16%",F39/3,IF(N52="&gt;16%&lt;30%",F40/3,IF(N52="&gt;30%&lt;40%",F41/3,IF(N52="&gt;40%&lt;50%",F42/3,IF(N52="&gt;50%&lt;60%",F43/3,IF(N52="&gt;60%&lt;70%",F44/3,IF(N52="&gt;70%&lt;84%",F45/3,F45/3)))))))</f>
        <v>0.21031911482673107</v>
      </c>
      <c r="X52" s="1" t="s">
        <v>88</v>
      </c>
    </row>
    <row r="53" spans="2:25" x14ac:dyDescent="0.2">
      <c r="B53" t="s">
        <v>70</v>
      </c>
      <c r="C53">
        <v>1</v>
      </c>
      <c r="D53">
        <v>10</v>
      </c>
      <c r="E53">
        <v>-1</v>
      </c>
      <c r="F53">
        <f>F56*POWER(10,C53*E53/D53)</f>
        <v>19.858205868107039</v>
      </c>
      <c r="I53" s="4"/>
      <c r="K53" s="17"/>
    </row>
    <row r="54" spans="2:25" ht="18" x14ac:dyDescent="0.25">
      <c r="B54" t="s">
        <v>64</v>
      </c>
      <c r="C54">
        <v>1</v>
      </c>
      <c r="D54">
        <v>10</v>
      </c>
      <c r="E54" s="3">
        <v>-0.52</v>
      </c>
      <c r="F54">
        <f>F56*POWER(10,C54*E54/D54)</f>
        <v>22.178900300949021</v>
      </c>
      <c r="I54" s="4" t="s">
        <v>79</v>
      </c>
      <c r="J54" t="s">
        <v>95</v>
      </c>
      <c r="K54" s="17">
        <f>(POWER(G$4,C$46)*H$4)</f>
        <v>1.3122944785276074E-3</v>
      </c>
      <c r="L54" t="str">
        <f>IF(K10&gt;F52/3,"&gt;84%",IF(K10&gt;F51/3,"&gt;70%&lt;84%",IF(K10&gt;F50/3,"&gt;60%&lt;70%",IF(K10&gt;F49/3,"&gt;50%&lt;60%",IF(K10&gt;F48/3,"&gt;40%&lt;50%",IF(K10&gt;F47/3,"&gt;30%&lt;40%",IF(K10&gt;F46/3,"&gt;16%&lt;30%","&lt;16%")))))))</f>
        <v>&lt;16%</v>
      </c>
      <c r="M54" t="str">
        <f>IF(K10&gt;F59/3,"&gt;84%",IF(K10&gt;F58/3,"&gt;70%&lt;84%",IF(K10&gt;F57/3,"&gt;60%&lt;70%",IF(K10&gt;F56/3,"&gt;50%&lt;60%",IF(K10&gt;F55/3,"&gt;40%&lt;50%",IF(K10&gt;F54/3,"&gt;30%&lt;40%",IF(K10&gt;F53/3,"&gt;16%&lt;30%","&lt;16%")))))))</f>
        <v>&lt;16%</v>
      </c>
      <c r="O54" s="5">
        <f>IF(L54="&lt;16%",F46/3,IF(L54="&gt;16%&lt;30%",F47/3,IF(L54="&gt;30%&lt;40%",F48/3,IF(L54="&gt;40%&lt;50%",F49/3,IF(L54="&gt;50%&lt;60%",F50/3,IF(L54="&gt;60%&lt;70%",F51/3,IF(L54="&gt;70%&lt;84%",F52/3,F52/3)))))))</f>
        <v>9.6297154947935457</v>
      </c>
      <c r="P54" s="5">
        <f>IF(M54="&lt;16%",F53/3,IF(M54="&gt;16%&lt;30%",F54/3,IF(M54="&gt;30%&lt;40%",F55/3,IF(M54="&gt;40%&lt;50%",F56/3,IF(M54="&gt;50%&lt;60%",F57/3,IF(M54="&gt;60%&lt;70%",F58/3,IF(M54="&gt;70%&lt;84%",F59/3,F59/3)))))))</f>
        <v>6.6194019560356798</v>
      </c>
      <c r="X54" s="1" t="s">
        <v>85</v>
      </c>
    </row>
    <row r="55" spans="2:25" x14ac:dyDescent="0.2">
      <c r="B55" t="s">
        <v>65</v>
      </c>
      <c r="C55">
        <v>1</v>
      </c>
      <c r="D55">
        <v>10</v>
      </c>
      <c r="E55" s="3">
        <v>-0.25</v>
      </c>
      <c r="F55">
        <f>F56*POWER(10,C55*E55/D55)</f>
        <v>23.601521907148086</v>
      </c>
      <c r="I55" s="4"/>
      <c r="J55" t="s">
        <v>96</v>
      </c>
      <c r="K55" s="17">
        <f>(POWER(G$4,C$60)*H$4)</f>
        <v>1.3122944785276074E-3</v>
      </c>
      <c r="N55" t="str">
        <f>IF(K11&gt;F66/3,"&gt;84%",IF(K11&gt;F65/3,"&gt;70%&lt;84%",IF(K11&gt;F64/3,"&gt;60%&lt;70%",IF(K11&gt;F63/3,"&gt;50%&lt;60%",IF(K11&gt;F62/3,"&gt;40%&lt;50%",IF(K11&gt;F61/3,"&gt;30%&lt;40%",IF(K11&gt;F60/3,"&gt;16%&lt;30%","&lt;16%")))))))</f>
        <v>&lt;16%</v>
      </c>
      <c r="Q55" s="5">
        <f>IF(N55="&lt;16%",F60/3,IF(N55="&gt;16%&lt;30%",F61/3,IF(N55="&gt;30%&lt;40%",F62/3,IF(N55="&gt;40%&lt;50%",F63/3,IF(N55="&gt;50%&lt;60%",F64/3,IF(N55="&gt;60%&lt;70%",F65/3,IF(N55="&gt;70%&lt;84%",F66/3,F66/3)))))))</f>
        <v>9.0838942541061507E-2</v>
      </c>
    </row>
    <row r="56" spans="2:25" x14ac:dyDescent="0.2">
      <c r="B56" t="s">
        <v>66</v>
      </c>
      <c r="E56" s="3"/>
      <c r="F56">
        <v>25</v>
      </c>
      <c r="I56" s="4"/>
      <c r="K56" s="17"/>
    </row>
    <row r="57" spans="2:25" x14ac:dyDescent="0.2">
      <c r="B57" t="s">
        <v>67</v>
      </c>
      <c r="C57">
        <v>1</v>
      </c>
      <c r="D57">
        <v>10</v>
      </c>
      <c r="E57" s="3">
        <v>0.25</v>
      </c>
      <c r="F57">
        <f>F56*POWER(10,C57*E57/D57)</f>
        <v>26.481343129432222</v>
      </c>
      <c r="I57" s="4" t="s">
        <v>80</v>
      </c>
      <c r="J57" t="s">
        <v>95</v>
      </c>
      <c r="K57" s="17">
        <f>(POWER(G$4,C$67)*H$4)</f>
        <v>1.3122944785276074E-3</v>
      </c>
      <c r="L57" t="str">
        <f>IF(K13&gt;F73/3,"&gt;84%",IF(K13&gt;F72/3,"&gt;70%&lt;84%",IF(K13&gt;F71/3,"&gt;60%&lt;70%",IF(K13&gt;F70/3,"&gt;50%&lt;60%",IF(K13&gt;F69/3,"&gt;40%&lt;50%",IF(K13&gt;F68/3,"&gt;30%&lt;40%",IF(K13&gt;F67/3,"&gt;16%&lt;30%","&lt;16%")))))))</f>
        <v>&lt;16%</v>
      </c>
      <c r="M57" t="str">
        <f>IF(K13&gt;F80/3,"&gt;84%",IF(K13&gt;F79/3,"&gt;70%&lt;84%",IF(K13&gt;F78/3,"&gt;60%&lt;70%",IF(K13&gt;F77/3,"&gt;50%&lt;60%",IF(K13&gt;F76/3,"&gt;40%&lt;50%",IF(K13&gt;F75/3,"&gt;30%&lt;40%",IF(K13&gt;F74/3,"&gt;16%&lt;30%","&lt;16%")))))))</f>
        <v>&lt;16%</v>
      </c>
      <c r="O57" s="5">
        <f>IF(L57="&lt;16%",F67/3,IF(L57="&gt;16%&lt;30%",F68/3,IF(L57="&gt;30%&lt;40%",F69/3,IF(L57="&gt;40%&lt;50%",F70/3,IF(L57="&gt;50%&lt;60%",F71/3,IF(L57="&gt;60%&lt;70%",F72/3,IF(L57="&gt;70%&lt;84%",F73/3,F73/3)))))))</f>
        <v>9.6297154947935457</v>
      </c>
      <c r="P57" s="5">
        <f>IF(M57="&lt;16%",F74/3,IF(M57="&gt;16%&lt;30%",F75/3,IF(M57="&gt;30%&lt;40%",F76/3,IF(M57="&gt;40%&lt;50%",F77/3,IF(M57="&gt;50%&lt;60%",F78/3,IF(M57="&gt;60%&lt;70%",F79/3,IF(M57="&gt;70%&lt;84%",F80/3,F80/3)))))))</f>
        <v>6.6194019560356798</v>
      </c>
    </row>
    <row r="58" spans="2:25" x14ac:dyDescent="0.2">
      <c r="B58" t="s">
        <v>68</v>
      </c>
      <c r="C58">
        <v>1</v>
      </c>
      <c r="D58">
        <v>10</v>
      </c>
      <c r="E58" s="3">
        <v>0.52</v>
      </c>
      <c r="F58">
        <f>F56*POWER(10,C58*E58/D58)</f>
        <v>28.17993640438776</v>
      </c>
      <c r="I58" s="4"/>
      <c r="J58" t="s">
        <v>96</v>
      </c>
      <c r="K58" s="17">
        <f>(POWER(G$4,C$81)*H$4)</f>
        <v>1.3122944785276074E-3</v>
      </c>
      <c r="N58" t="str">
        <f>IF(K14&gt;F87/3,"&gt;84%",IF(K14&gt;F86/3,"&gt;70%&lt;84%",IF(K14&gt;F85/3,"&gt;60%&lt;70%",IF(K14&gt;F84/3,"&gt;50%&lt;60%",IF(K14&gt;F83/3,"&gt;40%&lt;50%",IF(K14&gt;F82/3,"&gt;30%&lt;40%",IF(K14&gt;F81/3,"&gt;16%&lt;30%","&lt;16%")))))))</f>
        <v>&lt;16%</v>
      </c>
      <c r="Q58" s="5">
        <f>IF(N58="&lt;16%",F81/3,IF(N58="&gt;16%&lt;30%",F82/3,IF(N58="&gt;30%&lt;40%",F83/3,IF(N58="&gt;40%&lt;50%",F84/3,IF(N58="&gt;50%&lt;60%",F85/3,IF(N58="&gt;60%&lt;70%",F86/3,IF(N58="&gt;70%&lt;84%",F87/3,F87/3)))))))</f>
        <v>8.4127645930692441E-2</v>
      </c>
    </row>
    <row r="59" spans="2:25" x14ac:dyDescent="0.2">
      <c r="B59" t="s">
        <v>69</v>
      </c>
      <c r="C59">
        <v>1</v>
      </c>
      <c r="D59">
        <v>10</v>
      </c>
      <c r="E59">
        <v>1</v>
      </c>
      <c r="F59">
        <f>F56*POWER(10,C59*E59/D59)</f>
        <v>31.473135294854181</v>
      </c>
      <c r="I59" s="4"/>
      <c r="K59" s="17"/>
    </row>
    <row r="60" spans="2:25" x14ac:dyDescent="0.2">
      <c r="B60" t="s">
        <v>77</v>
      </c>
      <c r="C60">
        <v>1</v>
      </c>
      <c r="D60">
        <v>6</v>
      </c>
      <c r="E60">
        <v>-1</v>
      </c>
      <c r="F60">
        <f>F63*POWER(10,C60*E60/D60)</f>
        <v>0.27251682762318452</v>
      </c>
      <c r="I60" s="4" t="s">
        <v>81</v>
      </c>
      <c r="J60" t="s">
        <v>100</v>
      </c>
      <c r="K60" s="17">
        <f>(POWER(G$4,C$88)*H$4)</f>
        <v>1.3122944785276074E-3</v>
      </c>
      <c r="L60" t="str">
        <f>IF(K16&gt;F94/3,"&gt;84%",IF(K16&gt;F93/3,"&gt;70%&lt;84%",IF(K16&gt;F92/3,"&gt;60%&lt;70%",IF(K16&gt;F91/3,"&gt;50%&lt;60%",IF(K16&gt;F90/3,"&gt;40%&lt;50%",IF(K16&gt;F89/3,"&gt;30%&lt;40%",IF(K16&gt;F88/3,"&gt;16%&lt;30%","&lt;16%")))))))</f>
        <v>&lt;16%</v>
      </c>
      <c r="M60" t="str">
        <f>IF(K16&gt;F101/3,"&gt;84%",IF(K16&gt;F100/3,"&gt;70%&lt;84%",IF(K16&gt;F99/3,"&gt;60%&lt;70%",IF(K16&gt;F98/3,"&gt;50%&lt;60%",IF(K16&gt;F97/3,"&gt;40%&lt;50%",IF(K16&gt;F96/3,"&gt;30%&lt;40%",IF(K16&gt;F95/3,"&gt;16%&lt;30%","&lt;16%")))))))</f>
        <v>&lt;16%</v>
      </c>
      <c r="N60" t="str">
        <f>IF(K16&gt;F108/3,"&gt;84%",IF(K16&gt;F107/3,"&gt;70%&lt;84%",IF(K16&gt;F106/3,"&gt;60%&lt;70%",IF(K16&gt;F105/3,"&gt;50%&lt;60%",IF(K16&gt;F104/3,"&gt;40%&lt;50%",IF(K16&gt;F103/3,"&gt;30%&lt;40%",IF(K16&gt;F102/3,"&gt;16%&lt;30%","&lt;16%")))))))</f>
        <v>&lt;16%</v>
      </c>
      <c r="O60" s="5">
        <f>IF(L60="&lt;16%",F88/3,IF(L60="&gt;16%&lt;30%",F89/3,IF(L60="&gt;30%&lt;40%",F90/3,IF(L60="&gt;40%&lt;50%",F91/3,IF(L60="&gt;50%&lt;60%",F92/3,IF(L60="&gt;60%&lt;70%",F93/3,IF(L60="&gt;70%&lt;84%",F94/3,F94/3)))))))</f>
        <v>3.4064603452898061</v>
      </c>
      <c r="P60" s="5">
        <f>IF(M60="&lt;16%",F95/3,IF(M60="&gt;16%&lt;30%",F96/3,IF(M60="&gt;30%&lt;40%",F97/3,IF(M60="&gt;40%&lt;50%",F98/3,IF(M60="&gt;50%&lt;60%",F99/3,IF(M60="&gt;60%&lt;70%",F100/3,IF(M60="&gt;70%&lt;84%",F101/3,F101/3)))))))</f>
        <v>2.2709735635265376</v>
      </c>
      <c r="Q60" s="5">
        <f>IF(N60="&lt;16%",F102/3,IF(N60="&gt;16%&lt;30%",F103/3,IF(N60="&gt;30%&lt;40%",F104/3,IF(N60="&gt;40%&lt;50%",F105/3,IF(N60="&gt;50%&lt;60%",F106/3,IF(N60="&gt;60%&lt;70%",F107/3,IF(N60="&gt;70%&lt;84%",F108/3,F108/3)))))))</f>
        <v>1.8744710839678304E-2</v>
      </c>
    </row>
    <row r="61" spans="2:25" x14ac:dyDescent="0.2">
      <c r="B61" t="s">
        <v>71</v>
      </c>
      <c r="C61">
        <v>1</v>
      </c>
      <c r="D61">
        <v>6</v>
      </c>
      <c r="E61" s="3">
        <v>-0.52</v>
      </c>
      <c r="F61">
        <f>F63*POWER(10,C61*E61/D61)</f>
        <v>0.32763728968611888</v>
      </c>
      <c r="K61" s="17"/>
    </row>
    <row r="62" spans="2:25" x14ac:dyDescent="0.2">
      <c r="B62" t="s">
        <v>72</v>
      </c>
      <c r="C62">
        <v>1</v>
      </c>
      <c r="D62">
        <v>6</v>
      </c>
      <c r="E62" s="3">
        <v>-0.25</v>
      </c>
      <c r="F62">
        <f>F63*POWER(10,C62*E62/D62)</f>
        <v>0.36340703026067472</v>
      </c>
      <c r="I62" s="4" t="s">
        <v>167</v>
      </c>
      <c r="J62" t="s">
        <v>95</v>
      </c>
      <c r="K62" s="17">
        <f>(POWER(G$4,C$109)*H$4)</f>
        <v>1.3122944785276074E-3</v>
      </c>
      <c r="L62" t="str">
        <f>IF(K39&gt;F115/3,"&gt;84%",IF(K39&gt;F114/3,"&gt;70%&lt;84%",IF(K39&gt;F113/3,"&gt;60%&lt;70%",IF(K39&gt;F112/3,"&gt;50%&lt;60%",IF(K39&gt;F111/3,"&gt;40%&lt;50%",IF(K39&gt;F110/3,"&gt;30%&lt;40%",IF(K39&gt;F109/3,"&gt;16%&lt;30%","&lt;16%")))))))</f>
        <v>&lt;16%</v>
      </c>
      <c r="M62" t="str">
        <f>IF(K39&gt;F122/3,"&gt;84%",IF(K39&gt;F121/3,"&gt;70%&lt;84%",IF(K39&gt;F120/3,"&gt;60%&lt;70%",IF(K39&gt;F119/3,"&gt;50%&lt;60%",IF(K39&gt;F118/3,"&gt;40%&lt;50%",IF(K39&gt;F117/3,"&gt;30%&lt;40%",IF(K39&gt;F116/3,"&gt;16%&lt;30%","&lt;16%")))))))</f>
        <v>&lt;16%</v>
      </c>
      <c r="O62" s="5">
        <f>IF(L60="&lt;16%",F109/3,IF(L60="&gt;16%&lt;30%",F110/3,IF(L60="&gt;30%&lt;40%",F111/3,IF(L60="&gt;40%&lt;50%",F112/3,IF(L60="&gt;50%&lt;60%",F113/3,IF(L60="&gt;60%&lt;70%",F114/3,IF(L60="&gt;70%&lt;84%",F115/3,F115/3)))))))</f>
        <v>227.09735635265375</v>
      </c>
      <c r="P62" s="5">
        <f>IF(M60="&lt;16%",F116/3,IF(M60="&gt;16%&lt;30%",F117/3,IF(M60="&gt;30%&lt;40%",F118/3,IF(M60="&gt;40%&lt;50%",F119/3,IF(M60="&gt;50%&lt;60%",F120/3,IF(M60="&gt;60%&lt;70%",F121/3,IF(M60="&gt;70%&lt;84%",F122/3,F122/3)))))))</f>
        <v>15.471962778709262</v>
      </c>
    </row>
    <row r="63" spans="2:25" x14ac:dyDescent="0.2">
      <c r="B63" t="s">
        <v>73</v>
      </c>
      <c r="E63" s="3"/>
      <c r="F63">
        <v>0.4</v>
      </c>
      <c r="I63" s="32"/>
      <c r="J63" t="s">
        <v>96</v>
      </c>
      <c r="K63" s="17">
        <f>(POWER(G$4,C$123)*H$4)</f>
        <v>1.3122944785276074E-3</v>
      </c>
      <c r="N63" t="str">
        <f>IF(K40&gt;F129/3,"&gt;84%",IF(K40&gt;F128/3,"&gt;70%&lt;84%",IF(K40&gt;F127/3,"&gt;60%&lt;70%",IF(K40&gt;F126/3,"&gt;50%&lt;60%",IF(K40&gt;F125/3,"&gt;40%&lt;50%",IF(K40&gt;F124/3,"&gt;30%&lt;40%",IF(K40&gt;F123/3,"&gt;16%&lt;30%","&lt;16%")))))))</f>
        <v>&lt;16%</v>
      </c>
      <c r="Q63" s="5">
        <f>IF(N60="&lt;16%",F123/3,IF(N60="&gt;16%&lt;30%",F124/3,IF(N60="&gt;30%&lt;40%",F125/3,IF(N60="&gt;40%&lt;50%",F126/3,IF(N60="&gt;50%&lt;60%",F127/3,IF(N60="&gt;60%&lt;70%",F128/3,IF(N60="&gt;70%&lt;84%",F129/3,F129/3)))))))</f>
        <v>3.8679906946773155</v>
      </c>
    </row>
    <row r="64" spans="2:25" x14ac:dyDescent="0.2">
      <c r="B64" t="s">
        <v>74</v>
      </c>
      <c r="C64">
        <v>1</v>
      </c>
      <c r="D64">
        <v>6</v>
      </c>
      <c r="E64" s="3">
        <v>0.25</v>
      </c>
      <c r="F64">
        <f>F63*POWER(10,C64*E64/D64)</f>
        <v>0.44027766850088385</v>
      </c>
      <c r="I64" s="4" t="s">
        <v>168</v>
      </c>
      <c r="J64" t="s">
        <v>95</v>
      </c>
      <c r="K64" s="17">
        <f>(POWER(G$4,C$130)*H$4)</f>
        <v>1.3122944785276074E-3</v>
      </c>
      <c r="L64" t="str">
        <f>IF(K19&gt;F136/3,"&gt;84%",IF(K19&gt;F135/3,"&gt;70%&lt;84%",IF(K19&gt;F134/3,"&gt;60%&lt;70%",IF(K19&gt;F133/3,"&gt;50%&lt;60%",IF(K19&gt;F132/3,"&gt;40%&lt;50%",IF(K19&gt;F131/3,"&gt;30%&lt;40%",IF(K19&gt;F130/3,"&gt;16%&lt;30%","&lt;16%")))))))</f>
        <v>&lt;16%</v>
      </c>
      <c r="M64" t="str">
        <f>IF(K19&gt;F143/3,"&gt;84%",IF(K19&gt;F142/3,"&gt;70%&lt;84%",IF(K19&gt;F141/3,"&gt;60%&lt;70%",IF(K19&gt;F140/3,"&gt;50%&lt;60%",IF(K19&gt;F139/3,"&gt;40%&lt;50%",IF(K19&gt;F138/3,"&gt;30%&lt;40%",IF(K19&gt;F137/3,"&gt;16%&lt;30%","&lt;16%")))))))</f>
        <v>&lt;16%</v>
      </c>
      <c r="O64" s="5">
        <f>IF(L60="&lt;16%",F130/3,IF(L60="&gt;16%&lt;30%",F131/3,IF(L60="&gt;30%&lt;40%",F132/3,IF(L60="&gt;40%&lt;50%",F133/3,IF(L60="&gt;50%&lt;60%",F134/3,IF(L60="&gt;60%&lt;70%",F135/3,IF(L60="&gt;70%&lt;84%",F136/3,F136/3)))))))</f>
        <v>2398.9522433371735</v>
      </c>
      <c r="P64" s="5">
        <f>IF(M60="&lt;16%",F137/3,IF(M60="&gt;16%&lt;30%",F138/3,IF(M60="&gt;30%&lt;40%",F139/3,IF(M60="&gt;40%&lt;50%",F140/3,IF(M60="&gt;50%&lt;60%",F141/3,IF(M60="&gt;60%&lt;70%",F142/3,IF(M60="&gt;70%&lt;84%",F143/3,F143/3)))))))</f>
        <v>77.359813893546303</v>
      </c>
    </row>
    <row r="65" spans="1:25" x14ac:dyDescent="0.2">
      <c r="B65" t="s">
        <v>75</v>
      </c>
      <c r="C65">
        <v>1</v>
      </c>
      <c r="D65">
        <v>6</v>
      </c>
      <c r="E65" s="3">
        <v>0.52</v>
      </c>
      <c r="F65">
        <f>F63*POWER(10,C65*E65/D65)</f>
        <v>0.48834490162362854</v>
      </c>
      <c r="J65" t="s">
        <v>96</v>
      </c>
      <c r="K65" s="17">
        <f>(POWER(G$4,C$144)*H$4)</f>
        <v>1.3122944785276074E-3</v>
      </c>
      <c r="N65" t="str">
        <f>IF(K42&gt;F150/3,"&gt;84%",IF(K42&gt;F149/3,"&gt;70%&lt;84%",IF(K42&gt;F148/3,"&gt;60%&lt;70%",IF(K42&gt;F147/3,"&gt;50%&lt;60%",IF(K42&gt;F146/3,"&gt;40%&lt;50%",IF(K42&gt;F145/3,"&gt;30%&lt;40%",IF(K42&gt;F144/3,"&gt;16%&lt;30%","&lt;16%")))))))</f>
        <v>&lt;16%</v>
      </c>
      <c r="O65"/>
      <c r="Q65" s="5">
        <f>IF(N60="&lt;16%",F144/3,IF(N60="&gt;16%&lt;30%",F145/3,IF(N60="&gt;30%&lt;40%",F146/3,IF(N60="&gt;40%&lt;50%",F147/3,IF(N60="&gt;50%&lt;60%",F148/3,IF(N60="&gt;60%&lt;70%",F149/3,IF(N60="&gt;70%&lt;84%",F150/3,F150/3)))))))</f>
        <v>7.735981389354631</v>
      </c>
    </row>
    <row r="66" spans="1:25" x14ac:dyDescent="0.2">
      <c r="B66" t="s">
        <v>76</v>
      </c>
      <c r="C66">
        <v>1</v>
      </c>
      <c r="D66">
        <v>6</v>
      </c>
      <c r="E66">
        <v>1</v>
      </c>
      <c r="F66">
        <f>F63*POWER(10,C66*E66/D66)</f>
        <v>0.58711970704882788</v>
      </c>
      <c r="I66" s="4" t="s">
        <v>169</v>
      </c>
      <c r="J66" t="s">
        <v>170</v>
      </c>
      <c r="K66" s="17">
        <f>(POWER(G$4,C$151)*H$4)</f>
        <v>1.3122944785276074E-3</v>
      </c>
      <c r="M66" t="str">
        <f>IF(K21&gt;F157/3,"&gt;84%",IF(K21&gt;F156/3,"&gt;70%&lt;84%",IF(K21&gt;F155/3,"&gt;60%&lt;70%",IF(K21&gt;F154/3,"&gt;50%&lt;60%",IF(K21&gt;F153/3,"&gt;40%&lt;50%",IF(K21&gt;F152/3,"&gt;30%&lt;40%",IF(K21&gt;F151/3,"&gt;16%&lt;30%","&lt;16%")))))))</f>
        <v>&lt;16%</v>
      </c>
      <c r="O66"/>
      <c r="P66" s="5">
        <f>IF(M60="&lt;16%",F151/3,IF(M60="&gt;16%&lt;30%",F152/3,IF(M60="&gt;30%&lt;40%",F153/3,IF(M60="&gt;40%&lt;50%",F154/3,IF(M60="&gt;50%&lt;60%",F155/3,IF(M60="&gt;60%&lt;70%",F156/3,IF(M60="&gt;70%&lt;84%",F157/3,F157/3)))))))</f>
        <v>30.943925557418524</v>
      </c>
    </row>
    <row r="67" spans="1:25" x14ac:dyDescent="0.2">
      <c r="A67" t="s">
        <v>80</v>
      </c>
      <c r="B67" t="s">
        <v>57</v>
      </c>
      <c r="C67">
        <v>1</v>
      </c>
      <c r="D67">
        <v>12</v>
      </c>
      <c r="E67">
        <v>-1</v>
      </c>
      <c r="F67">
        <f>F70*POWER(10,C67*E67/D67)</f>
        <v>28.889146484380639</v>
      </c>
      <c r="J67" t="s">
        <v>96</v>
      </c>
      <c r="K67" s="17">
        <f>(POWER(G$4,C$158)*H$4)</f>
        <v>1.3122944785276074E-3</v>
      </c>
      <c r="N67" t="str">
        <f>IF(K44&gt;F164/3,"&gt;84%",IF(K44&gt;F163/3,"&gt;70%&lt;84%",IF(K44&gt;F162/3,"&gt;60%&lt;70%",IF(K44&gt;F161/3,"&gt;50%&lt;60%",IF(K44&gt;F160/3,"&gt;40%&lt;50%",IF(K44&gt;F159/3,"&gt;30%&lt;40%",IF(K44&gt;F158/3,"&gt;16%&lt;30%","&lt;16%")))))))</f>
        <v>&lt;16%</v>
      </c>
      <c r="Q67" s="5">
        <f>IF(N60="&lt;16%",F158/3,IF(N60="&gt;16%&lt;30%",F159/3,IF(N60="&gt;30%&lt;40%",F160/3,IF(N60="&gt;40%&lt;50%",F161/3,IF(N60="&gt;50%&lt;60%",F162/3,IF(N60="&gt;60%&lt;70%",F163/3,IF(N60="&gt;70%&lt;84%",F164/3,F164/3)))))))</f>
        <v>3.8679906946773155</v>
      </c>
    </row>
    <row r="68" spans="1:25" ht="18" x14ac:dyDescent="0.25">
      <c r="B68" t="s">
        <v>58</v>
      </c>
      <c r="C68">
        <v>1</v>
      </c>
      <c r="D68">
        <v>12</v>
      </c>
      <c r="E68" s="3">
        <v>-0.52</v>
      </c>
      <c r="F68">
        <f>F70*POWER(10,C68*E68/D68)</f>
        <v>31.676319225309925</v>
      </c>
      <c r="X68" s="1" t="s">
        <v>80</v>
      </c>
    </row>
    <row r="69" spans="1:25" ht="18" x14ac:dyDescent="0.25">
      <c r="B69" t="s">
        <v>59</v>
      </c>
      <c r="C69">
        <v>1</v>
      </c>
      <c r="D69">
        <v>12</v>
      </c>
      <c r="E69" s="3">
        <v>-0.25</v>
      </c>
      <c r="F69">
        <f>F70*POWER(10,C69*E69/D69)</f>
        <v>33.360665913217566</v>
      </c>
      <c r="X69" s="1" t="s">
        <v>2</v>
      </c>
      <c r="Y69" s="1" t="s">
        <v>27</v>
      </c>
    </row>
    <row r="70" spans="1:25" ht="18" x14ac:dyDescent="0.25">
      <c r="B70" t="s">
        <v>60</v>
      </c>
      <c r="E70" s="3"/>
      <c r="F70">
        <v>35</v>
      </c>
      <c r="X70" s="1" t="s">
        <v>9</v>
      </c>
      <c r="Y70" s="1" t="s">
        <v>28</v>
      </c>
    </row>
    <row r="71" spans="1:25" ht="18" x14ac:dyDescent="0.25">
      <c r="B71" t="s">
        <v>61</v>
      </c>
      <c r="C71">
        <v>1</v>
      </c>
      <c r="D71">
        <v>12</v>
      </c>
      <c r="E71" s="3">
        <v>0.25</v>
      </c>
      <c r="F71">
        <f>F70*POWER(10,C71*E71/D71)</f>
        <v>36.719890519770843</v>
      </c>
      <c r="X71" s="1" t="s">
        <v>11</v>
      </c>
      <c r="Y71" s="1" t="s">
        <v>29</v>
      </c>
    </row>
    <row r="72" spans="1:25" x14ac:dyDescent="0.2">
      <c r="B72" t="s">
        <v>62</v>
      </c>
      <c r="C72">
        <v>1</v>
      </c>
      <c r="D72">
        <v>12</v>
      </c>
      <c r="E72" s="3">
        <v>0.52</v>
      </c>
      <c r="F72">
        <f>F70*POWER(10,C72*E72/D72)</f>
        <v>38.67242248970657</v>
      </c>
    </row>
    <row r="73" spans="1:25" ht="18" x14ac:dyDescent="0.25">
      <c r="B73" t="s">
        <v>63</v>
      </c>
      <c r="C73">
        <v>1</v>
      </c>
      <c r="D73">
        <v>12</v>
      </c>
      <c r="E73">
        <v>1</v>
      </c>
      <c r="F73">
        <f>F70*POWER(10,C73*E73/D73)</f>
        <v>42.403468052000598</v>
      </c>
      <c r="X73" s="1" t="s">
        <v>88</v>
      </c>
    </row>
    <row r="74" spans="1:25" x14ac:dyDescent="0.2">
      <c r="B74" t="s">
        <v>70</v>
      </c>
      <c r="C74">
        <v>1</v>
      </c>
      <c r="D74">
        <v>10</v>
      </c>
      <c r="E74">
        <v>-1</v>
      </c>
      <c r="F74">
        <f>F77*POWER(10,C74*E74/D74)</f>
        <v>19.858205868107039</v>
      </c>
    </row>
    <row r="75" spans="1:25" ht="18" x14ac:dyDescent="0.25">
      <c r="B75" t="s">
        <v>64</v>
      </c>
      <c r="C75">
        <v>1</v>
      </c>
      <c r="D75">
        <v>10</v>
      </c>
      <c r="E75" s="3">
        <v>-0.52</v>
      </c>
      <c r="F75">
        <f>F77*POWER(10,C75*E75/D75)</f>
        <v>22.178900300949021</v>
      </c>
      <c r="X75" s="1" t="s">
        <v>85</v>
      </c>
    </row>
    <row r="76" spans="1:25" x14ac:dyDescent="0.2">
      <c r="B76" t="s">
        <v>65</v>
      </c>
      <c r="C76">
        <v>1</v>
      </c>
      <c r="D76">
        <v>10</v>
      </c>
      <c r="E76" s="3">
        <v>-0.25</v>
      </c>
      <c r="F76">
        <f>F77*POWER(10,C76*E76/D76)</f>
        <v>23.601521907148086</v>
      </c>
    </row>
    <row r="77" spans="1:25" x14ac:dyDescent="0.2">
      <c r="B77" t="s">
        <v>66</v>
      </c>
      <c r="E77" s="3"/>
      <c r="F77">
        <v>25</v>
      </c>
    </row>
    <row r="78" spans="1:25" x14ac:dyDescent="0.2">
      <c r="B78" t="s">
        <v>67</v>
      </c>
      <c r="C78">
        <v>1</v>
      </c>
      <c r="D78">
        <v>10</v>
      </c>
      <c r="E78" s="3">
        <v>0.25</v>
      </c>
      <c r="F78">
        <f>F77*POWER(10,C78*E78/D78)</f>
        <v>26.481343129432222</v>
      </c>
    </row>
    <row r="79" spans="1:25" x14ac:dyDescent="0.2">
      <c r="B79" t="s">
        <v>68</v>
      </c>
      <c r="C79">
        <v>1</v>
      </c>
      <c r="D79">
        <v>10</v>
      </c>
      <c r="E79" s="3">
        <v>0.52</v>
      </c>
      <c r="F79">
        <f>F77*POWER(10,C79*E79/D79)</f>
        <v>28.17993640438776</v>
      </c>
    </row>
    <row r="80" spans="1:25" x14ac:dyDescent="0.2">
      <c r="B80" t="s">
        <v>69</v>
      </c>
      <c r="C80">
        <v>1</v>
      </c>
      <c r="D80">
        <v>10</v>
      </c>
      <c r="E80">
        <v>1</v>
      </c>
      <c r="F80">
        <f>F77*POWER(10,C80*E80/D80)</f>
        <v>31.473135294854181</v>
      </c>
    </row>
    <row r="81" spans="1:25" x14ac:dyDescent="0.2">
      <c r="B81" t="s">
        <v>77</v>
      </c>
      <c r="C81">
        <v>1</v>
      </c>
      <c r="D81">
        <v>5</v>
      </c>
      <c r="E81">
        <v>-1</v>
      </c>
      <c r="F81">
        <f>F84*POWER(10,C81*E81/D81)</f>
        <v>0.25238293779207732</v>
      </c>
    </row>
    <row r="82" spans="1:25" x14ac:dyDescent="0.2">
      <c r="B82" t="s">
        <v>71</v>
      </c>
      <c r="C82">
        <v>1</v>
      </c>
      <c r="D82">
        <v>5</v>
      </c>
      <c r="E82" s="3">
        <v>-0.52</v>
      </c>
      <c r="F82">
        <f>F84*POWER(10,C82*E82/D82)</f>
        <v>0.31481831587803943</v>
      </c>
    </row>
    <row r="83" spans="1:25" x14ac:dyDescent="0.2">
      <c r="B83" t="s">
        <v>72</v>
      </c>
      <c r="C83">
        <v>1</v>
      </c>
      <c r="D83">
        <v>5</v>
      </c>
      <c r="E83" s="3">
        <v>-0.25</v>
      </c>
      <c r="F83">
        <f>F84*POWER(10,C83*E83/D83)</f>
        <v>0.3565003752534982</v>
      </c>
    </row>
    <row r="84" spans="1:25" x14ac:dyDescent="0.2">
      <c r="B84" t="s">
        <v>73</v>
      </c>
      <c r="E84" s="3"/>
      <c r="F84">
        <v>0.4</v>
      </c>
    </row>
    <row r="85" spans="1:25" x14ac:dyDescent="0.2">
      <c r="B85" t="s">
        <v>74</v>
      </c>
      <c r="C85">
        <v>1</v>
      </c>
      <c r="D85">
        <v>5</v>
      </c>
      <c r="E85" s="3">
        <v>0.25</v>
      </c>
      <c r="F85">
        <f>F84*POWER(10,C85*E85/D85)</f>
        <v>0.44880738172078544</v>
      </c>
    </row>
    <row r="86" spans="1:25" x14ac:dyDescent="0.2">
      <c r="B86" t="s">
        <v>75</v>
      </c>
      <c r="C86">
        <v>1</v>
      </c>
      <c r="D86">
        <v>5</v>
      </c>
      <c r="E86" s="3">
        <v>0.52</v>
      </c>
      <c r="F86">
        <f>F84*POWER(10,C86*E86/D86)</f>
        <v>0.5082296420834167</v>
      </c>
    </row>
    <row r="87" spans="1:25" x14ac:dyDescent="0.2">
      <c r="B87" t="s">
        <v>76</v>
      </c>
      <c r="C87">
        <v>1</v>
      </c>
      <c r="D87">
        <v>5</v>
      </c>
      <c r="E87">
        <v>1</v>
      </c>
      <c r="F87">
        <f>F84*POWER(10,C87*E87/D87)</f>
        <v>0.63395727698444548</v>
      </c>
    </row>
    <row r="88" spans="1:25" x14ac:dyDescent="0.2">
      <c r="A88" t="s">
        <v>81</v>
      </c>
      <c r="B88" t="s">
        <v>57</v>
      </c>
      <c r="C88">
        <v>1</v>
      </c>
      <c r="D88">
        <v>6</v>
      </c>
      <c r="E88">
        <v>-1</v>
      </c>
      <c r="F88">
        <f>F91*POWER(10,C88*E88/D88)</f>
        <v>10.219381035869418</v>
      </c>
    </row>
    <row r="89" spans="1:25" ht="18" x14ac:dyDescent="0.25">
      <c r="B89" t="s">
        <v>58</v>
      </c>
      <c r="C89">
        <v>1</v>
      </c>
      <c r="D89">
        <v>6</v>
      </c>
      <c r="E89" s="3">
        <v>-0.52</v>
      </c>
      <c r="F89">
        <f>F91*POWER(10,C89*E89/D89)</f>
        <v>12.286398363229457</v>
      </c>
      <c r="X89" s="15" t="s">
        <v>81</v>
      </c>
    </row>
    <row r="90" spans="1:25" ht="18" x14ac:dyDescent="0.25">
      <c r="B90" t="s">
        <v>59</v>
      </c>
      <c r="C90">
        <v>1</v>
      </c>
      <c r="D90">
        <v>6</v>
      </c>
      <c r="E90" s="3">
        <v>-0.25</v>
      </c>
      <c r="F90">
        <f>F91*POWER(10,C90*E90/D90)</f>
        <v>13.627763634775302</v>
      </c>
      <c r="X90" s="1" t="s">
        <v>2</v>
      </c>
      <c r="Y90" s="1" t="s">
        <v>36</v>
      </c>
    </row>
    <row r="91" spans="1:25" ht="18" x14ac:dyDescent="0.25">
      <c r="B91" t="s">
        <v>60</v>
      </c>
      <c r="E91" s="3"/>
      <c r="F91">
        <v>15</v>
      </c>
      <c r="X91" s="1" t="s">
        <v>9</v>
      </c>
      <c r="Y91" s="1" t="s">
        <v>37</v>
      </c>
    </row>
    <row r="92" spans="1:25" ht="18" x14ac:dyDescent="0.25">
      <c r="B92" t="s">
        <v>61</v>
      </c>
      <c r="C92">
        <v>1</v>
      </c>
      <c r="D92">
        <v>6</v>
      </c>
      <c r="E92" s="3">
        <v>0.25</v>
      </c>
      <c r="F92">
        <f>F91*POWER(10,C92*E92/D92)</f>
        <v>16.510412568783146</v>
      </c>
      <c r="X92" s="1" t="s">
        <v>11</v>
      </c>
      <c r="Y92" s="1" t="s">
        <v>38</v>
      </c>
    </row>
    <row r="93" spans="1:25" x14ac:dyDescent="0.2">
      <c r="B93" t="s">
        <v>62</v>
      </c>
      <c r="C93">
        <v>1</v>
      </c>
      <c r="D93">
        <v>6</v>
      </c>
      <c r="E93" s="3">
        <v>0.52</v>
      </c>
      <c r="F93">
        <f>F91*POWER(10,C93*E93/D93)</f>
        <v>18.312933810886069</v>
      </c>
    </row>
    <row r="94" spans="1:25" ht="18" x14ac:dyDescent="0.25">
      <c r="B94" t="s">
        <v>63</v>
      </c>
      <c r="C94">
        <v>1</v>
      </c>
      <c r="D94">
        <v>6</v>
      </c>
      <c r="E94">
        <v>1</v>
      </c>
      <c r="F94">
        <f>F91*POWER(10,C94*E94/D94)</f>
        <v>22.016989014331045</v>
      </c>
      <c r="X94" s="1" t="s">
        <v>87</v>
      </c>
    </row>
    <row r="95" spans="1:25" x14ac:dyDescent="0.2">
      <c r="B95" t="s">
        <v>70</v>
      </c>
      <c r="C95">
        <v>1</v>
      </c>
      <c r="D95">
        <v>6</v>
      </c>
      <c r="E95">
        <v>-1</v>
      </c>
      <c r="F95">
        <f>F98*POWER(10,C95*E95/D95)</f>
        <v>6.8129206905796122</v>
      </c>
    </row>
    <row r="96" spans="1:25" x14ac:dyDescent="0.2">
      <c r="B96" t="s">
        <v>64</v>
      </c>
      <c r="C96">
        <v>1</v>
      </c>
      <c r="D96">
        <v>6</v>
      </c>
      <c r="E96" s="3">
        <v>-0.52</v>
      </c>
      <c r="F96">
        <f>F98*POWER(10,C96*E96/D96)</f>
        <v>8.1909322421529716</v>
      </c>
    </row>
    <row r="97" spans="1:25" x14ac:dyDescent="0.2">
      <c r="B97" t="s">
        <v>65</v>
      </c>
      <c r="C97">
        <v>1</v>
      </c>
      <c r="D97">
        <v>6</v>
      </c>
      <c r="E97" s="3">
        <v>-0.25</v>
      </c>
      <c r="F97">
        <f>F98*POWER(10,C97*E97/D97)</f>
        <v>9.0851757565168683</v>
      </c>
    </row>
    <row r="98" spans="1:25" x14ac:dyDescent="0.2">
      <c r="B98" t="s">
        <v>66</v>
      </c>
      <c r="E98" s="3"/>
      <c r="F98">
        <v>10</v>
      </c>
    </row>
    <row r="99" spans="1:25" x14ac:dyDescent="0.2">
      <c r="B99" t="s">
        <v>67</v>
      </c>
      <c r="C99">
        <v>1</v>
      </c>
      <c r="D99">
        <v>6</v>
      </c>
      <c r="E99" s="3">
        <v>0.25</v>
      </c>
      <c r="F99">
        <f>F98*POWER(10,C99*E99/D99)</f>
        <v>11.006941712522096</v>
      </c>
    </row>
    <row r="100" spans="1:25" x14ac:dyDescent="0.2">
      <c r="B100" t="s">
        <v>68</v>
      </c>
      <c r="C100">
        <v>1</v>
      </c>
      <c r="D100">
        <v>6</v>
      </c>
      <c r="E100" s="3">
        <v>0.52</v>
      </c>
      <c r="F100">
        <f>F98*POWER(10,C100*E100/D100)</f>
        <v>12.208622540590712</v>
      </c>
    </row>
    <row r="101" spans="1:25" x14ac:dyDescent="0.2">
      <c r="B101" t="s">
        <v>69</v>
      </c>
      <c r="C101">
        <v>1</v>
      </c>
      <c r="D101">
        <v>6</v>
      </c>
      <c r="E101">
        <v>1</v>
      </c>
      <c r="F101">
        <f>F98*POWER(10,C101*E101/D101)</f>
        <v>14.677992676220697</v>
      </c>
    </row>
    <row r="102" spans="1:25" x14ac:dyDescent="0.2">
      <c r="B102" t="s">
        <v>77</v>
      </c>
      <c r="C102">
        <v>1</v>
      </c>
      <c r="D102">
        <v>4</v>
      </c>
      <c r="E102">
        <v>-1</v>
      </c>
      <c r="F102">
        <f>F105*POWER(10,C102*E102/D102)</f>
        <v>5.6234132519034911E-2</v>
      </c>
    </row>
    <row r="103" spans="1:25" x14ac:dyDescent="0.2">
      <c r="B103" t="s">
        <v>71</v>
      </c>
      <c r="C103">
        <v>1</v>
      </c>
      <c r="D103">
        <v>4</v>
      </c>
      <c r="E103" s="3">
        <v>-0.52</v>
      </c>
      <c r="F103">
        <f>F105*POWER(10,C103*E103/D103)</f>
        <v>7.4131024130091747E-2</v>
      </c>
    </row>
    <row r="104" spans="1:25" x14ac:dyDescent="0.2">
      <c r="B104" t="s">
        <v>72</v>
      </c>
      <c r="C104">
        <v>1</v>
      </c>
      <c r="D104">
        <v>4</v>
      </c>
      <c r="E104" s="3">
        <v>-0.25</v>
      </c>
      <c r="F104">
        <f>F105*POWER(10,C104*E104/D104)</f>
        <v>8.6596432336006543E-2</v>
      </c>
    </row>
    <row r="105" spans="1:25" x14ac:dyDescent="0.2">
      <c r="B105" t="s">
        <v>73</v>
      </c>
      <c r="E105" s="3"/>
      <c r="F105">
        <v>0.1</v>
      </c>
    </row>
    <row r="106" spans="1:25" x14ac:dyDescent="0.2">
      <c r="B106" t="s">
        <v>74</v>
      </c>
      <c r="C106">
        <v>1</v>
      </c>
      <c r="D106">
        <v>4</v>
      </c>
      <c r="E106" s="3">
        <v>0.25</v>
      </c>
      <c r="F106">
        <f>F105*POWER(10,C106*E106/D106)</f>
        <v>0.11547819846894583</v>
      </c>
    </row>
    <row r="107" spans="1:25" x14ac:dyDescent="0.2">
      <c r="B107" t="s">
        <v>75</v>
      </c>
      <c r="C107">
        <v>1</v>
      </c>
      <c r="D107">
        <v>4</v>
      </c>
      <c r="E107" s="3">
        <v>0.52</v>
      </c>
      <c r="F107">
        <f>F105*POWER(10,C107*E107/D107)</f>
        <v>0.13489628825916539</v>
      </c>
    </row>
    <row r="108" spans="1:25" x14ac:dyDescent="0.2">
      <c r="B108" t="s">
        <v>76</v>
      </c>
      <c r="C108">
        <v>1</v>
      </c>
      <c r="D108">
        <v>4</v>
      </c>
      <c r="E108">
        <v>1</v>
      </c>
      <c r="F108">
        <f>F105*POWER(10,C108*E108/D108)</f>
        <v>0.17782794100389232</v>
      </c>
    </row>
    <row r="109" spans="1:25" x14ac:dyDescent="0.2">
      <c r="A109" s="6" t="s">
        <v>82</v>
      </c>
      <c r="B109" t="s">
        <v>57</v>
      </c>
      <c r="C109">
        <v>1</v>
      </c>
      <c r="D109">
        <v>6</v>
      </c>
      <c r="E109">
        <v>-1</v>
      </c>
      <c r="F109">
        <f>F$112*POWER(10,C109*E109/D109)</f>
        <v>681.29206905796127</v>
      </c>
    </row>
    <row r="110" spans="1:25" ht="18" x14ac:dyDescent="0.25">
      <c r="A110" s="16" t="s">
        <v>142</v>
      </c>
      <c r="B110" t="s">
        <v>58</v>
      </c>
      <c r="C110">
        <v>1</v>
      </c>
      <c r="D110">
        <v>6</v>
      </c>
      <c r="E110" s="3">
        <v>-0.52</v>
      </c>
      <c r="F110">
        <f t="shared" ref="F110:F115" si="0">F$112*POWER(10,C110*E110/D110)</f>
        <v>819.09322421529714</v>
      </c>
      <c r="X110" s="1" t="s">
        <v>82</v>
      </c>
    </row>
    <row r="111" spans="1:25" ht="18" x14ac:dyDescent="0.25">
      <c r="B111" t="s">
        <v>59</v>
      </c>
      <c r="C111">
        <v>1</v>
      </c>
      <c r="D111">
        <v>6</v>
      </c>
      <c r="E111" s="3">
        <v>-0.25</v>
      </c>
      <c r="F111">
        <f t="shared" si="0"/>
        <v>908.5175756516868</v>
      </c>
      <c r="X111" s="1" t="s">
        <v>40</v>
      </c>
      <c r="Y111" s="1" t="s">
        <v>41</v>
      </c>
    </row>
    <row r="112" spans="1:25" ht="18" x14ac:dyDescent="0.25">
      <c r="B112" t="s">
        <v>60</v>
      </c>
      <c r="E112" s="3"/>
      <c r="F112">
        <v>1000</v>
      </c>
      <c r="X112" s="1" t="s">
        <v>42</v>
      </c>
      <c r="Y112" s="1" t="s">
        <v>43</v>
      </c>
    </row>
    <row r="113" spans="1:25" ht="18" x14ac:dyDescent="0.25">
      <c r="B113" t="s">
        <v>61</v>
      </c>
      <c r="C113">
        <v>1</v>
      </c>
      <c r="D113">
        <v>6</v>
      </c>
      <c r="E113" s="3">
        <v>0.25</v>
      </c>
      <c r="F113">
        <f t="shared" si="0"/>
        <v>1100.6941712522096</v>
      </c>
      <c r="X113" s="1" t="s">
        <v>44</v>
      </c>
      <c r="Y113" s="1" t="s">
        <v>45</v>
      </c>
    </row>
    <row r="114" spans="1:25" ht="18" x14ac:dyDescent="0.25">
      <c r="B114" t="s">
        <v>62</v>
      </c>
      <c r="C114">
        <v>1</v>
      </c>
      <c r="D114">
        <v>6</v>
      </c>
      <c r="E114" s="3">
        <v>0.52</v>
      </c>
      <c r="F114">
        <f t="shared" si="0"/>
        <v>1220.8622540590711</v>
      </c>
      <c r="X114" s="1" t="s">
        <v>46</v>
      </c>
      <c r="Y114" s="1" t="s">
        <v>47</v>
      </c>
    </row>
    <row r="115" spans="1:25" ht="12.75" customHeight="1" x14ac:dyDescent="0.2">
      <c r="B115" t="s">
        <v>63</v>
      </c>
      <c r="C115">
        <v>1</v>
      </c>
      <c r="D115">
        <v>6</v>
      </c>
      <c r="E115">
        <v>1</v>
      </c>
      <c r="F115">
        <f t="shared" si="0"/>
        <v>1467.7992676220697</v>
      </c>
    </row>
    <row r="116" spans="1:25" ht="12.75" customHeight="1" x14ac:dyDescent="0.25">
      <c r="A116" s="16" t="s">
        <v>145</v>
      </c>
      <c r="B116" t="s">
        <v>70</v>
      </c>
      <c r="C116">
        <v>1</v>
      </c>
      <c r="D116">
        <v>3</v>
      </c>
      <c r="E116">
        <v>-1</v>
      </c>
      <c r="F116">
        <f>F$119*POWER(10,C116*E116/D116)</f>
        <v>46.415888336127786</v>
      </c>
      <c r="G116" s="1"/>
      <c r="X116" t="s">
        <v>141</v>
      </c>
    </row>
    <row r="117" spans="1:25" ht="12.75" customHeight="1" x14ac:dyDescent="0.25">
      <c r="B117" t="s">
        <v>64</v>
      </c>
      <c r="C117">
        <v>1</v>
      </c>
      <c r="D117">
        <v>3</v>
      </c>
      <c r="E117" s="3">
        <v>-0.52</v>
      </c>
      <c r="F117">
        <f t="shared" ref="F117:F122" si="1">F$119*POWER(10,C117*E117/D117)</f>
        <v>67.091370995541126</v>
      </c>
      <c r="G117" s="1"/>
      <c r="H117" s="1"/>
    </row>
    <row r="118" spans="1:25" ht="12.75" customHeight="1" x14ac:dyDescent="0.25">
      <c r="B118" t="s">
        <v>65</v>
      </c>
      <c r="C118">
        <v>1</v>
      </c>
      <c r="D118">
        <v>3</v>
      </c>
      <c r="E118" s="3">
        <v>-0.25</v>
      </c>
      <c r="F118">
        <f t="shared" si="1"/>
        <v>82.54041852680183</v>
      </c>
      <c r="G118" s="1"/>
      <c r="H118" s="1"/>
    </row>
    <row r="119" spans="1:25" ht="12.75" customHeight="1" x14ac:dyDescent="0.25">
      <c r="B119" t="s">
        <v>66</v>
      </c>
      <c r="E119" s="3"/>
      <c r="F119">
        <v>100</v>
      </c>
      <c r="G119" s="1"/>
      <c r="H119" s="1"/>
    </row>
    <row r="120" spans="1:25" ht="12.75" customHeight="1" x14ac:dyDescent="0.25">
      <c r="B120" t="s">
        <v>67</v>
      </c>
      <c r="C120">
        <v>1</v>
      </c>
      <c r="D120">
        <v>3</v>
      </c>
      <c r="E120" s="3">
        <v>0.25</v>
      </c>
      <c r="F120">
        <f t="shared" si="1"/>
        <v>121.15276586285886</v>
      </c>
      <c r="G120" s="1"/>
      <c r="H120" s="1"/>
    </row>
    <row r="121" spans="1:25" x14ac:dyDescent="0.2">
      <c r="B121" t="s">
        <v>68</v>
      </c>
      <c r="C121">
        <v>1</v>
      </c>
      <c r="D121">
        <v>3</v>
      </c>
      <c r="E121" s="3">
        <v>0.52</v>
      </c>
      <c r="F121">
        <f t="shared" si="1"/>
        <v>149.05046433861961</v>
      </c>
    </row>
    <row r="122" spans="1:25" x14ac:dyDescent="0.2">
      <c r="B122" t="s">
        <v>69</v>
      </c>
      <c r="C122">
        <v>1</v>
      </c>
      <c r="D122">
        <v>3</v>
      </c>
      <c r="E122">
        <v>1</v>
      </c>
      <c r="F122">
        <f t="shared" si="1"/>
        <v>215.44346900318837</v>
      </c>
    </row>
    <row r="123" spans="1:25" x14ac:dyDescent="0.2">
      <c r="A123" s="16" t="s">
        <v>145</v>
      </c>
      <c r="B123" t="s">
        <v>77</v>
      </c>
      <c r="C123">
        <v>1</v>
      </c>
      <c r="D123">
        <v>3</v>
      </c>
      <c r="E123">
        <v>-1</v>
      </c>
      <c r="F123">
        <f>F$126*POWER(10,C123*E123/D123)</f>
        <v>11.603972084031946</v>
      </c>
    </row>
    <row r="124" spans="1:25" x14ac:dyDescent="0.2">
      <c r="B124" t="s">
        <v>71</v>
      </c>
      <c r="C124">
        <v>1</v>
      </c>
      <c r="D124">
        <v>3</v>
      </c>
      <c r="E124" s="3">
        <v>-0.52</v>
      </c>
      <c r="F124">
        <f>F$126*POWER(10,C124*E124/D124)</f>
        <v>16.772842748885282</v>
      </c>
    </row>
    <row r="125" spans="1:25" x14ac:dyDescent="0.2">
      <c r="B125" t="s">
        <v>72</v>
      </c>
      <c r="C125">
        <v>1</v>
      </c>
      <c r="D125">
        <v>3</v>
      </c>
      <c r="E125" s="3">
        <v>-0.25</v>
      </c>
      <c r="F125">
        <f>F$126*POWER(10,C125*E125/D125)</f>
        <v>20.635104631700457</v>
      </c>
    </row>
    <row r="126" spans="1:25" x14ac:dyDescent="0.2">
      <c r="B126" t="s">
        <v>73</v>
      </c>
      <c r="E126" s="3"/>
      <c r="F126">
        <v>25</v>
      </c>
    </row>
    <row r="127" spans="1:25" x14ac:dyDescent="0.2">
      <c r="B127" t="s">
        <v>74</v>
      </c>
      <c r="C127">
        <v>1</v>
      </c>
      <c r="D127">
        <v>3</v>
      </c>
      <c r="E127" s="3">
        <v>0.25</v>
      </c>
      <c r="F127">
        <f>F$126*POWER(10,C127*E127/D127)</f>
        <v>30.288191465714714</v>
      </c>
    </row>
    <row r="128" spans="1:25" x14ac:dyDescent="0.2">
      <c r="B128" t="s">
        <v>75</v>
      </c>
      <c r="C128">
        <v>1</v>
      </c>
      <c r="D128">
        <v>3</v>
      </c>
      <c r="E128" s="3">
        <v>0.52</v>
      </c>
      <c r="F128">
        <f>F$126*POWER(10,C128*E128/D128)</f>
        <v>37.262616084654901</v>
      </c>
    </row>
    <row r="129" spans="1:6" x14ac:dyDescent="0.2">
      <c r="B129" t="s">
        <v>76</v>
      </c>
      <c r="C129">
        <v>1</v>
      </c>
      <c r="D129">
        <v>3</v>
      </c>
      <c r="E129">
        <v>1</v>
      </c>
      <c r="F129">
        <f>F$126*POWER(10,C129*E129/D129)</f>
        <v>53.860867250797092</v>
      </c>
    </row>
    <row r="130" spans="1:6" x14ac:dyDescent="0.2">
      <c r="A130" s="16" t="s">
        <v>143</v>
      </c>
      <c r="B130" t="s">
        <v>57</v>
      </c>
      <c r="C130">
        <v>1</v>
      </c>
      <c r="D130">
        <v>7</v>
      </c>
      <c r="E130">
        <v>-1</v>
      </c>
      <c r="F130">
        <f>F$133*POWER(10,C130*E130/D130)</f>
        <v>7196.8567300115201</v>
      </c>
    </row>
    <row r="131" spans="1:6" x14ac:dyDescent="0.2">
      <c r="A131" s="16"/>
      <c r="B131" t="s">
        <v>58</v>
      </c>
      <c r="C131">
        <v>1</v>
      </c>
      <c r="D131">
        <v>7</v>
      </c>
      <c r="E131" s="3">
        <v>-0.52</v>
      </c>
      <c r="F131">
        <f>F$133*POWER(10,C131*E131/D131)</f>
        <v>8427.8012592767027</v>
      </c>
    </row>
    <row r="132" spans="1:6" x14ac:dyDescent="0.2">
      <c r="B132" t="s">
        <v>59</v>
      </c>
      <c r="C132">
        <v>1</v>
      </c>
      <c r="D132">
        <v>7</v>
      </c>
      <c r="E132" s="3">
        <v>-0.25</v>
      </c>
      <c r="F132">
        <f>F$133*POWER(10,C132*E132/D132)</f>
        <v>9210.5531768948167</v>
      </c>
    </row>
    <row r="133" spans="1:6" x14ac:dyDescent="0.2">
      <c r="B133" t="s">
        <v>60</v>
      </c>
      <c r="E133" s="3"/>
      <c r="F133">
        <v>10000</v>
      </c>
    </row>
    <row r="134" spans="1:6" x14ac:dyDescent="0.2">
      <c r="B134" t="s">
        <v>61</v>
      </c>
      <c r="C134">
        <v>1</v>
      </c>
      <c r="D134">
        <v>7</v>
      </c>
      <c r="E134" s="3">
        <v>0.25</v>
      </c>
      <c r="F134">
        <f>F$133*POWER(10,C134*E134/D134)</f>
        <v>10857.111194022042</v>
      </c>
    </row>
    <row r="135" spans="1:6" x14ac:dyDescent="0.2">
      <c r="B135" t="s">
        <v>62</v>
      </c>
      <c r="C135">
        <v>1</v>
      </c>
      <c r="D135">
        <v>7</v>
      </c>
      <c r="E135" s="3">
        <v>0.52</v>
      </c>
      <c r="F135">
        <f>F$133*POWER(10,C135*E135/D135)</f>
        <v>11865.491000980519</v>
      </c>
    </row>
    <row r="136" spans="1:6" x14ac:dyDescent="0.2">
      <c r="B136" t="s">
        <v>63</v>
      </c>
      <c r="C136">
        <v>1</v>
      </c>
      <c r="D136">
        <v>7</v>
      </c>
      <c r="E136">
        <v>1</v>
      </c>
      <c r="F136">
        <f>F$133*POWER(10,C136*E136/D136)</f>
        <v>13894.954943731376</v>
      </c>
    </row>
    <row r="137" spans="1:6" x14ac:dyDescent="0.2">
      <c r="A137" s="16" t="s">
        <v>143</v>
      </c>
      <c r="B137" t="s">
        <v>70</v>
      </c>
      <c r="C137">
        <v>1</v>
      </c>
      <c r="D137">
        <v>3</v>
      </c>
      <c r="E137">
        <v>-1</v>
      </c>
      <c r="F137">
        <f>F$140*POWER(10,C137*E137/D137)</f>
        <v>232.07944168063892</v>
      </c>
    </row>
    <row r="138" spans="1:6" x14ac:dyDescent="0.2">
      <c r="B138" t="s">
        <v>64</v>
      </c>
      <c r="C138">
        <v>1</v>
      </c>
      <c r="D138">
        <v>3</v>
      </c>
      <c r="E138" s="3">
        <v>-0.52</v>
      </c>
      <c r="F138">
        <f t="shared" ref="F138:F143" si="2">F$140*POWER(10,C138*E138/D138)</f>
        <v>335.45685497770563</v>
      </c>
    </row>
    <row r="139" spans="1:6" x14ac:dyDescent="0.2">
      <c r="B139" t="s">
        <v>65</v>
      </c>
      <c r="C139">
        <v>1</v>
      </c>
      <c r="D139">
        <v>3</v>
      </c>
      <c r="E139" s="3">
        <v>-0.25</v>
      </c>
      <c r="F139">
        <f t="shared" si="2"/>
        <v>412.70209263400915</v>
      </c>
    </row>
    <row r="140" spans="1:6" x14ac:dyDescent="0.2">
      <c r="B140" t="s">
        <v>66</v>
      </c>
      <c r="E140" s="3"/>
      <c r="F140">
        <v>500</v>
      </c>
    </row>
    <row r="141" spans="1:6" x14ac:dyDescent="0.2">
      <c r="B141" t="s">
        <v>67</v>
      </c>
      <c r="C141">
        <v>1</v>
      </c>
      <c r="D141">
        <v>3</v>
      </c>
      <c r="E141" s="3">
        <v>0.25</v>
      </c>
      <c r="F141">
        <f t="shared" si="2"/>
        <v>605.7638293142943</v>
      </c>
    </row>
    <row r="142" spans="1:6" x14ac:dyDescent="0.2">
      <c r="B142" t="s">
        <v>68</v>
      </c>
      <c r="C142">
        <v>1</v>
      </c>
      <c r="D142">
        <v>3</v>
      </c>
      <c r="E142" s="3">
        <v>0.52</v>
      </c>
      <c r="F142">
        <f t="shared" si="2"/>
        <v>745.25232169309811</v>
      </c>
    </row>
    <row r="143" spans="1:6" x14ac:dyDescent="0.2">
      <c r="B143" t="s">
        <v>69</v>
      </c>
      <c r="C143">
        <v>1</v>
      </c>
      <c r="D143">
        <v>3</v>
      </c>
      <c r="E143">
        <v>1</v>
      </c>
      <c r="F143">
        <f t="shared" si="2"/>
        <v>1077.2173450159419</v>
      </c>
    </row>
    <row r="144" spans="1:6" x14ac:dyDescent="0.2">
      <c r="A144" s="16" t="s">
        <v>143</v>
      </c>
      <c r="B144" t="s">
        <v>77</v>
      </c>
      <c r="C144">
        <v>1</v>
      </c>
      <c r="D144">
        <v>3</v>
      </c>
      <c r="E144">
        <v>-1</v>
      </c>
      <c r="F144">
        <f>F$147*POWER(10,C144*E144/D144)</f>
        <v>23.207944168063893</v>
      </c>
    </row>
    <row r="145" spans="1:6" x14ac:dyDescent="0.2">
      <c r="B145" t="s">
        <v>71</v>
      </c>
      <c r="C145">
        <v>1</v>
      </c>
      <c r="D145">
        <v>3</v>
      </c>
      <c r="E145" s="3">
        <v>-0.52</v>
      </c>
      <c r="F145">
        <f>F$147*POWER(10,C145*E145/D145)</f>
        <v>33.545685497770563</v>
      </c>
    </row>
    <row r="146" spans="1:6" x14ac:dyDescent="0.2">
      <c r="B146" t="s">
        <v>72</v>
      </c>
      <c r="C146">
        <v>1</v>
      </c>
      <c r="D146">
        <v>3</v>
      </c>
      <c r="E146" s="3">
        <v>-0.25</v>
      </c>
      <c r="F146">
        <f>F$147*POWER(10,C146*E146/D146)</f>
        <v>41.270209263400915</v>
      </c>
    </row>
    <row r="147" spans="1:6" x14ac:dyDescent="0.2">
      <c r="B147" t="s">
        <v>73</v>
      </c>
      <c r="E147" s="3"/>
      <c r="F147">
        <v>50</v>
      </c>
    </row>
    <row r="148" spans="1:6" x14ac:dyDescent="0.2">
      <c r="B148" t="s">
        <v>74</v>
      </c>
      <c r="C148">
        <v>1</v>
      </c>
      <c r="D148">
        <v>3</v>
      </c>
      <c r="E148" s="3">
        <v>0.25</v>
      </c>
      <c r="F148">
        <f>F$147*POWER(10,C148*E148/D148)</f>
        <v>60.576382931429428</v>
      </c>
    </row>
    <row r="149" spans="1:6" x14ac:dyDescent="0.2">
      <c r="B149" t="s">
        <v>75</v>
      </c>
      <c r="C149">
        <v>1</v>
      </c>
      <c r="D149">
        <v>3</v>
      </c>
      <c r="E149" s="3">
        <v>0.52</v>
      </c>
      <c r="F149">
        <f>F$147*POWER(10,C149*E149/D149)</f>
        <v>74.525232169309803</v>
      </c>
    </row>
    <row r="150" spans="1:6" x14ac:dyDescent="0.2">
      <c r="B150" t="s">
        <v>76</v>
      </c>
      <c r="C150">
        <v>1</v>
      </c>
      <c r="D150">
        <v>3</v>
      </c>
      <c r="E150">
        <v>1</v>
      </c>
      <c r="F150">
        <f>F$147*POWER(10,C150*E150/D150)</f>
        <v>107.72173450159418</v>
      </c>
    </row>
    <row r="151" spans="1:6" x14ac:dyDescent="0.2">
      <c r="A151" s="16" t="s">
        <v>143</v>
      </c>
      <c r="B151" t="s">
        <v>70</v>
      </c>
      <c r="C151">
        <v>1</v>
      </c>
      <c r="D151">
        <v>3</v>
      </c>
      <c r="E151">
        <v>-1</v>
      </c>
      <c r="F151">
        <f>F$154*POWER(10,C151*E151/D151)</f>
        <v>92.831776672255572</v>
      </c>
    </row>
    <row r="152" spans="1:6" x14ac:dyDescent="0.2">
      <c r="A152" s="16" t="s">
        <v>144</v>
      </c>
      <c r="B152" t="s">
        <v>64</v>
      </c>
      <c r="C152">
        <v>1</v>
      </c>
      <c r="D152">
        <v>3</v>
      </c>
      <c r="E152" s="3">
        <v>-0.52</v>
      </c>
      <c r="F152">
        <f t="shared" ref="F152:F157" si="3">F$154*POWER(10,C152*E152/D152)</f>
        <v>134.18274199108225</v>
      </c>
    </row>
    <row r="153" spans="1:6" x14ac:dyDescent="0.2">
      <c r="B153" t="s">
        <v>65</v>
      </c>
      <c r="C153">
        <v>1</v>
      </c>
      <c r="D153">
        <v>3</v>
      </c>
      <c r="E153" s="3">
        <v>-0.25</v>
      </c>
      <c r="F153">
        <f t="shared" si="3"/>
        <v>165.08083705360366</v>
      </c>
    </row>
    <row r="154" spans="1:6" x14ac:dyDescent="0.2">
      <c r="B154" t="s">
        <v>66</v>
      </c>
      <c r="E154" s="3"/>
      <c r="F154">
        <v>200</v>
      </c>
    </row>
    <row r="155" spans="1:6" x14ac:dyDescent="0.2">
      <c r="B155" t="s">
        <v>67</v>
      </c>
      <c r="C155">
        <v>1</v>
      </c>
      <c r="D155">
        <v>3</v>
      </c>
      <c r="E155" s="3">
        <v>0.25</v>
      </c>
      <c r="F155">
        <f t="shared" si="3"/>
        <v>242.30553172571771</v>
      </c>
    </row>
    <row r="156" spans="1:6" x14ac:dyDescent="0.2">
      <c r="B156" t="s">
        <v>68</v>
      </c>
      <c r="C156">
        <v>1</v>
      </c>
      <c r="D156">
        <v>3</v>
      </c>
      <c r="E156" s="3">
        <v>0.52</v>
      </c>
      <c r="F156">
        <f t="shared" si="3"/>
        <v>298.10092867723921</v>
      </c>
    </row>
    <row r="157" spans="1:6" x14ac:dyDescent="0.2">
      <c r="B157" t="s">
        <v>69</v>
      </c>
      <c r="C157">
        <v>1</v>
      </c>
      <c r="D157">
        <v>3</v>
      </c>
      <c r="E157">
        <v>1</v>
      </c>
      <c r="F157">
        <f t="shared" si="3"/>
        <v>430.88693800637674</v>
      </c>
    </row>
    <row r="158" spans="1:6" x14ac:dyDescent="0.2">
      <c r="A158" s="16" t="s">
        <v>143</v>
      </c>
      <c r="B158" t="s">
        <v>77</v>
      </c>
      <c r="C158">
        <v>1</v>
      </c>
      <c r="D158">
        <v>3</v>
      </c>
      <c r="E158">
        <v>-1</v>
      </c>
      <c r="F158">
        <f>F$161*POWER(10,C158*E158/D158)</f>
        <v>11.603972084031946</v>
      </c>
    </row>
    <row r="159" spans="1:6" x14ac:dyDescent="0.2">
      <c r="A159" s="16" t="s">
        <v>144</v>
      </c>
      <c r="B159" t="s">
        <v>71</v>
      </c>
      <c r="C159">
        <v>1</v>
      </c>
      <c r="D159">
        <v>3</v>
      </c>
      <c r="E159" s="3">
        <v>-0.52</v>
      </c>
      <c r="F159">
        <f>F$161*POWER(10,C159*E159/D159)</f>
        <v>16.772842748885282</v>
      </c>
    </row>
    <row r="160" spans="1:6" x14ac:dyDescent="0.2">
      <c r="B160" t="s">
        <v>72</v>
      </c>
      <c r="C160">
        <v>1</v>
      </c>
      <c r="D160">
        <v>3</v>
      </c>
      <c r="E160" s="3">
        <v>-0.25</v>
      </c>
      <c r="F160">
        <f>F$161*POWER(10,C160*E160/D160)</f>
        <v>20.635104631700457</v>
      </c>
    </row>
    <row r="161" spans="2:6" x14ac:dyDescent="0.2">
      <c r="B161" t="s">
        <v>73</v>
      </c>
      <c r="E161" s="3"/>
      <c r="F161">
        <v>25</v>
      </c>
    </row>
    <row r="162" spans="2:6" x14ac:dyDescent="0.2">
      <c r="B162" t="s">
        <v>74</v>
      </c>
      <c r="C162">
        <v>1</v>
      </c>
      <c r="D162">
        <v>3</v>
      </c>
      <c r="E162" s="3">
        <v>0.25</v>
      </c>
      <c r="F162">
        <f>F$161*POWER(10,C162*E162/D162)</f>
        <v>30.288191465714714</v>
      </c>
    </row>
    <row r="163" spans="2:6" x14ac:dyDescent="0.2">
      <c r="B163" t="s">
        <v>75</v>
      </c>
      <c r="C163">
        <v>1</v>
      </c>
      <c r="D163">
        <v>3</v>
      </c>
      <c r="E163" s="3">
        <v>0.52</v>
      </c>
      <c r="F163">
        <f>F$161*POWER(10,C163*E163/D163)</f>
        <v>37.262616084654901</v>
      </c>
    </row>
    <row r="164" spans="2:6" x14ac:dyDescent="0.2">
      <c r="B164" t="s">
        <v>76</v>
      </c>
      <c r="C164">
        <v>1</v>
      </c>
      <c r="D164">
        <v>3</v>
      </c>
      <c r="E164">
        <v>1</v>
      </c>
      <c r="F164">
        <f>F$161*POWER(10,C164*E164/D164)</f>
        <v>53.860867250797092</v>
      </c>
    </row>
  </sheetData>
  <sheetProtection sheet="1" objects="1" scenarios="1"/>
  <mergeCells count="3">
    <mergeCell ref="I2:Q2"/>
    <mergeCell ref="I24:Q24"/>
    <mergeCell ref="I46:Q46"/>
  </mergeCells>
  <phoneticPr fontId="0" type="noConversion"/>
  <pageMargins left="0.75" right="0.75" top="1" bottom="1" header="0.5" footer="0.5"/>
  <pageSetup orientation="landscape" r:id="rId1"/>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M54"/>
  <sheetViews>
    <sheetView showFormulas="1" workbookViewId="0">
      <selection activeCell="D7" sqref="D7"/>
    </sheetView>
  </sheetViews>
  <sheetFormatPr defaultRowHeight="12.75" x14ac:dyDescent="0.2"/>
  <cols>
    <col min="1" max="1" width="24.5703125" customWidth="1"/>
    <col min="2" max="2" width="27.5703125" customWidth="1"/>
    <col min="3" max="3" width="24.7109375" customWidth="1"/>
    <col min="4" max="4" width="24.85546875" customWidth="1"/>
    <col min="5" max="5" width="29.140625" customWidth="1"/>
    <col min="6" max="7" width="8.140625" customWidth="1"/>
    <col min="12" max="12" width="13.85546875" customWidth="1"/>
    <col min="13" max="13" width="14.140625" customWidth="1"/>
    <col min="14" max="14" width="17.7109375" customWidth="1"/>
  </cols>
  <sheetData>
    <row r="1" spans="1:13" ht="51" customHeight="1" x14ac:dyDescent="0.2">
      <c r="A1" s="14" t="s">
        <v>130</v>
      </c>
      <c r="B1" s="434" t="s">
        <v>163</v>
      </c>
      <c r="C1" s="435"/>
      <c r="D1" s="14" t="s">
        <v>132</v>
      </c>
      <c r="E1" s="14" t="s">
        <v>131</v>
      </c>
      <c r="F1" s="39"/>
      <c r="G1" s="39"/>
      <c r="H1" s="39"/>
      <c r="I1" s="39"/>
      <c r="J1" s="39"/>
      <c r="K1" s="39"/>
      <c r="L1" s="39"/>
      <c r="M1" s="39"/>
    </row>
    <row r="2" spans="1:13" ht="26.25" thickBot="1" x14ac:dyDescent="0.25">
      <c r="A2" s="30"/>
      <c r="B2" s="436" t="s">
        <v>164</v>
      </c>
      <c r="C2" s="437"/>
      <c r="D2" s="27" t="s">
        <v>172</v>
      </c>
      <c r="E2" s="27" t="s">
        <v>133</v>
      </c>
      <c r="F2" s="39"/>
      <c r="G2" s="39"/>
      <c r="H2" s="39"/>
      <c r="I2" s="39"/>
      <c r="J2" s="39"/>
      <c r="K2" s="39"/>
      <c r="L2" s="39"/>
      <c r="M2" s="39"/>
    </row>
    <row r="3" spans="1:13" x14ac:dyDescent="0.2">
      <c r="A3" s="34"/>
      <c r="B3" s="438">
        <v>25</v>
      </c>
      <c r="C3" s="439"/>
      <c r="D3" s="35">
        <v>4.0000000000000001E-3</v>
      </c>
      <c r="E3" s="35">
        <v>30</v>
      </c>
      <c r="F3" s="39"/>
      <c r="G3" s="39"/>
      <c r="H3" s="39"/>
      <c r="I3" s="39"/>
      <c r="J3" s="39"/>
      <c r="K3" s="39"/>
      <c r="L3" s="39"/>
      <c r="M3" s="39"/>
    </row>
    <row r="4" spans="1:13" ht="13.5" thickBot="1" x14ac:dyDescent="0.25">
      <c r="A4" s="34"/>
      <c r="B4" s="432"/>
      <c r="C4" s="433"/>
      <c r="D4" s="37"/>
      <c r="E4" s="38"/>
      <c r="F4" s="39"/>
      <c r="G4" s="39"/>
      <c r="H4" s="39"/>
      <c r="I4" s="39"/>
      <c r="J4" s="39"/>
      <c r="K4" s="39"/>
      <c r="L4" s="39"/>
      <c r="M4" s="39"/>
    </row>
    <row r="5" spans="1:13" x14ac:dyDescent="0.2">
      <c r="A5" s="34"/>
      <c r="B5" s="28"/>
      <c r="C5" s="29"/>
      <c r="D5" s="28"/>
      <c r="E5" s="57"/>
      <c r="F5" s="39"/>
      <c r="G5" s="39"/>
      <c r="H5" s="39"/>
      <c r="I5" s="39"/>
      <c r="J5" s="39"/>
      <c r="K5" s="39"/>
      <c r="L5" s="39"/>
      <c r="M5" s="39"/>
    </row>
    <row r="6" spans="1:13" ht="33.75" customHeight="1" thickBot="1" x14ac:dyDescent="0.25">
      <c r="A6" s="56"/>
      <c r="B6" s="23"/>
      <c r="C6" s="24"/>
      <c r="D6" s="23"/>
      <c r="E6" s="58"/>
      <c r="F6" s="39"/>
      <c r="G6" s="39"/>
      <c r="H6" s="39"/>
      <c r="I6" s="39"/>
      <c r="J6" s="39"/>
      <c r="K6" s="39"/>
      <c r="L6" s="39"/>
      <c r="M6" s="39"/>
    </row>
    <row r="7" spans="1:13" x14ac:dyDescent="0.2">
      <c r="A7" s="59">
        <v>5</v>
      </c>
      <c r="B7" s="60" t="b">
        <v>0</v>
      </c>
      <c r="C7" s="61">
        <f>IF(B7,(B3-32)*5/9,B3)</f>
        <v>25</v>
      </c>
      <c r="D7" s="62">
        <f>IF(A7=1,'Calculations (Habers Law)'!S3,IF(A7=2,'Calculations (Habers Law)'!T3,IF(A7=3,'Calculations (Habers Law)'!U3,IF(A7=4,'Calculations (Habers Law)'!V3,IF(A7=5,'Calculations (Habers Law)'!W3,IF(A7=6,'Calculations (Habers Law)'!X3,IF(A7=7,'Calculations (Habers Law)'!Y3,IF(A7=8,'Calculations (Habers Law)'!Z3,"Error"))))))))</f>
        <v>4.3743149284253576E-5</v>
      </c>
      <c r="E7" s="63">
        <v>3</v>
      </c>
      <c r="F7" s="39"/>
      <c r="G7" s="39"/>
      <c r="H7" s="39"/>
      <c r="I7" s="39"/>
      <c r="J7" s="39"/>
      <c r="K7" s="39"/>
      <c r="L7" s="39"/>
      <c r="M7" s="39"/>
    </row>
    <row r="8" spans="1:13" x14ac:dyDescent="0.2">
      <c r="A8" s="39"/>
      <c r="B8" s="39"/>
      <c r="C8" s="39"/>
      <c r="D8" s="39"/>
      <c r="E8" s="39"/>
      <c r="F8" s="39"/>
      <c r="G8" s="49"/>
      <c r="H8" s="39"/>
      <c r="I8" s="39"/>
      <c r="J8" s="39"/>
      <c r="K8" s="39"/>
      <c r="L8" s="39"/>
      <c r="M8" s="39"/>
    </row>
    <row r="9" spans="1:13" ht="13.5" thickBot="1" x14ac:dyDescent="0.25">
      <c r="A9" s="39"/>
      <c r="B9" s="39"/>
      <c r="C9" s="39"/>
      <c r="D9" s="39"/>
      <c r="E9" s="40"/>
      <c r="F9" s="39"/>
      <c r="G9" s="40"/>
      <c r="H9" s="39"/>
      <c r="I9" s="39"/>
      <c r="J9" s="39"/>
      <c r="K9" s="39"/>
      <c r="L9" s="39"/>
      <c r="M9" s="39"/>
    </row>
    <row r="10" spans="1:13" ht="18.75" thickBot="1" x14ac:dyDescent="0.3">
      <c r="A10" s="41"/>
      <c r="B10" s="429" t="s">
        <v>160</v>
      </c>
      <c r="C10" s="430"/>
      <c r="D10" s="431"/>
      <c r="E10" s="26"/>
      <c r="F10" s="40"/>
      <c r="G10" s="40"/>
      <c r="H10" s="39"/>
      <c r="I10" s="39"/>
      <c r="J10" s="39"/>
      <c r="K10" s="39"/>
      <c r="L10" s="39"/>
      <c r="M10" s="39"/>
    </row>
    <row r="11" spans="1:13" x14ac:dyDescent="0.2">
      <c r="A11" s="42"/>
      <c r="B11" s="440" t="str">
        <f>IF(OR(A7=1,A7=2,A7=3,A7=4,A7=5),"Risk Assessment of Nerve Agent Exposure and Effect",IF(A7=6,"Risk Assessment of HD Inhalation/Occular Agent Exposure and Effect",IF(A7=7,"Risk Assessment of HD PC Vapor Agent Exposure and Effect","Risk Assessment of HD PC Vapor (HOT) Agent Exposure and Effect")))</f>
        <v>Risk Assessment of Nerve Agent Exposure and Effect</v>
      </c>
      <c r="C11" s="441"/>
      <c r="D11" s="442"/>
      <c r="E11" s="40"/>
      <c r="F11" s="40"/>
      <c r="G11" s="39"/>
      <c r="H11" s="39"/>
      <c r="I11" s="39"/>
      <c r="J11" s="39"/>
      <c r="K11" s="39"/>
      <c r="L11" s="39"/>
      <c r="M11" s="39"/>
    </row>
    <row r="12" spans="1:13" ht="13.5" thickBot="1" x14ac:dyDescent="0.25">
      <c r="A12" s="37"/>
      <c r="B12" s="443"/>
      <c r="C12" s="444"/>
      <c r="D12" s="445"/>
      <c r="E12" s="40"/>
      <c r="F12" s="40"/>
      <c r="G12" s="39"/>
      <c r="H12" s="39"/>
      <c r="I12" s="39"/>
      <c r="J12" s="39"/>
      <c r="K12" s="39"/>
      <c r="L12" s="39"/>
      <c r="M12" s="39"/>
    </row>
    <row r="13" spans="1:13" ht="13.5" thickBot="1" x14ac:dyDescent="0.25">
      <c r="A13" s="37"/>
      <c r="B13" s="19" t="str">
        <f>IF(OR(A7=1,A7=2,A7=3,A7=4,A7=5),"Threshold Risk (Th)",IF(A7=6,"Occular Threshold Risk (Th)","PC Vapor Threshold Risk (Th)"))</f>
        <v>Threshold Risk (Th)</v>
      </c>
      <c r="C13" s="19" t="str">
        <f>IF(OR(A7=1,A7=2,A7=3,A7=4,A7=5),"Incapacitation Risk (EC)",IF(A7=6,"Occular Severe Risk (EC)","PC Vapor Severe Risk (EC)"))</f>
        <v>Incapacitation Risk (EC)</v>
      </c>
      <c r="D13" s="11" t="str">
        <f>IF(OR(A7=1,A7=2,A7=3,A7=4,A7=5),"Lethal Risk (LC)",IF(A7=6,"Inhalation Lethal Risk (LC)",IF(A7=7,"PC Vapor Lethal Risk (LC)","")))</f>
        <v>Lethal Risk (LC)</v>
      </c>
      <c r="E13" s="40"/>
      <c r="F13" s="40"/>
      <c r="G13" s="39"/>
      <c r="H13" s="39"/>
      <c r="I13" s="39"/>
      <c r="J13" s="39"/>
      <c r="K13" s="39"/>
      <c r="L13" s="39"/>
      <c r="M13" s="39"/>
    </row>
    <row r="14" spans="1:13" ht="13.5" thickBot="1" x14ac:dyDescent="0.25">
      <c r="A14" s="18" t="s">
        <v>126</v>
      </c>
      <c r="B14" s="20" t="str">
        <f>IF(A7=1,'Calculations (Habers Law)'!N5,IF(A7=2,'Calculations (Habers Law)'!N8,IF(A7=3,'Calculations (Habers Law)'!N11,IF(A7=4,'Calculations (Habers Law)'!N14,IF(A7=5,'Calculations (Habers Law)'!N16,IF(A7=6,'Calculations (Habers Law)'!N18,IF(A7=7,'Calculations (Habers Law)'!N20,'Calculations (Habers Law)'!N22)))))))</f>
        <v>&lt;16%</v>
      </c>
      <c r="C14" s="21" t="str">
        <f>IF(A7=1,'Calculations (Habers Law)'!M4,IF(A7=2,'Calculations (Habers Law)'!M7,IF(A7=3,'Calculations (Habers Law)'!M10,IF(A7=4,'Calculations (Habers Law)'!M13,IF(A7=5,'Calculations (Habers Law)'!M16,IF(A7=6,'Calculations (Habers Law)'!M17,IF(A7=7,'Calculations (Habers Law)'!M19,'Calculations (Habers Law)'!M21)))))))</f>
        <v>&lt;16%</v>
      </c>
      <c r="D14" s="12" t="str">
        <f>IF(A7=1,'Calculations (Habers Law)'!L4,IF(A7=2,'Calculations (Habers Law)'!L7,IF(A7=3,'Calculations (Habers Law)'!L10,IF(A7=4,'Calculations (Habers Law)'!L13,IF(A7=5,'Calculations (Habers Law)'!L16,IF(A7=6,'Calculations (Habers Law)'!L17,IF(A7=7,'Calculations (Habers Law)'!L19,"")))))))</f>
        <v>&lt;16%</v>
      </c>
      <c r="E14" s="40"/>
      <c r="F14" s="40"/>
      <c r="G14" s="39"/>
      <c r="H14" s="39"/>
      <c r="I14" s="39"/>
      <c r="J14" s="39"/>
      <c r="K14" s="39"/>
      <c r="L14" s="39"/>
      <c r="M14" s="39"/>
    </row>
    <row r="15" spans="1:13" ht="25.5" customHeight="1" x14ac:dyDescent="0.2">
      <c r="A15" s="446" t="s">
        <v>128</v>
      </c>
      <c r="B15" s="43" t="str">
        <f>IF(B14="&lt;16%","Th16 Dose (mg-min/M3)",IF(B14="&gt;16%&lt;30%","Th30 Dose (mg-min/M3)",IF(B14="&gt;30%&lt;40%","Th40 Dose (mg-min/M3)",IF(B14="&gt;40%&lt;50%","Th50 Dose (mg-min/M3)",IF(B14="&gt;50%&lt;60%","Th60 Dose (mg-min/M3)",IF(B14="&gt;60%&lt;70%","Th70 Dose (mg-min/M3)",IF(OR(B14="&gt;70%&lt;84%",B14="&gt;84%"),"Th84 Dose (mg-min/M3)","")))))))</f>
        <v>Th16 Dose (mg-min/M3)</v>
      </c>
      <c r="C15" s="43" t="str">
        <f>IF(C14="&lt;16%","EC16 Dose (mg-min/M3)",IF(C14="&gt;16%&lt;30%","EC30 Dose (mg-min/M3)",IF(C14="&gt;30%&lt;40%","EC40 Dose (mg-min/M3)",IF(C14="&gt;40%&lt;50%","EC50 Dose (mg-min/M3)",IF(C14="&gt;50%&lt;60%","EC60 Dose (mg-min/M3)",IF(C14="&gt;60%&lt;70%","EC70 Dose (mg-min/M3)",IF(OR(C14="&gt;70%&lt;84%",C14="&gt;84%"),"EC84 Dose (mg-min/M3)","")))))))</f>
        <v>EC16 Dose (mg-min/M3)</v>
      </c>
      <c r="D15" s="44" t="str">
        <f>IF(D14="&lt;16%","LC16 Dose (mg-min/M3)",IF(D14="&gt;16%&lt;30%","LC30 Dose (mg-min/M3)",IF(D14="&gt;30%&lt;40%","LC40 Dose (mg-min/M3)",IF(D14="&gt;40%&lt;50%","LC50 Dose (mg-min/M3)",IF(D14="&gt;50%&lt;60%","LC60 Dose (mg-min/M3)",IF(D14="&gt;60%&lt;70%","LC70 Dose (mg-min/M3)",IF(OR(D14="&gt;70%&lt;84%",D14="&gt;84%"),"LC84 Dose (mg-min/M3)","")))))))</f>
        <v>LC16 Dose (mg-min/M3)</v>
      </c>
      <c r="E15" s="40"/>
      <c r="F15" s="40"/>
      <c r="G15" s="39"/>
      <c r="H15" s="39"/>
      <c r="I15" s="39"/>
      <c r="J15" s="39"/>
      <c r="K15" s="39"/>
      <c r="L15" s="39"/>
      <c r="M15" s="39"/>
    </row>
    <row r="16" spans="1:13" ht="13.5" thickBot="1" x14ac:dyDescent="0.25">
      <c r="A16" s="447"/>
      <c r="B16" s="45">
        <f>IF(A7=1,'Calculations (Habers Law)'!Q5,IF(A7=2,'Calculations (Habers Law)'!Q8,IF(A7=3,'Calculations (Habers Law)'!Q11,IF(A7=4,'Calculations (Habers Law)'!Q14,IF(A7=5,'Calculations (Habers Law)'!Q16,IF(A7=6,'Calculations (Habers Law)'!Q18,IF(A7=7,'Calculations (Habers Law)'!Q20,'Calculations (Habers Law)'!Q22)))))))</f>
        <v>5.6234132519034911E-2</v>
      </c>
      <c r="C16" s="46">
        <f>IF(A7=1,'Calculations (Habers Law)'!P4,IF(A7=2,'Calculations (Habers Law)'!P7,IF(A7=3,'Calculations (Habers Law)'!P10,IF(A7=4,'Calculations (Habers Law)'!P13,IF(A7=5,'Calculations (Habers Law)'!P16,IF(A7=6,'Calculations (Habers Law)'!P17,IF(A7=7,'Calculations (Habers Law)'!P19,'Calculations (Habers Law)'!P21)))))))</f>
        <v>6.8129206905796122</v>
      </c>
      <c r="D16" s="47">
        <f>IF(A7=1,'Calculations (Habers Law)'!O4,IF(A7=2,'Calculations (Habers Law)'!O7,IF(A7=3,'Calculations (Habers Law)'!O10,IF(A7=4,'Calculations (Habers Law)'!O13,IF(A7=5,'Calculations (Habers Law)'!O16,IF(A7=6,'Calculations (Habers Law)'!O17,IF(A7=7,'Calculations (Habers Law)'!O19,"")))))))</f>
        <v>10.219381035869418</v>
      </c>
      <c r="E16" s="40"/>
      <c r="F16" s="40"/>
      <c r="G16" s="39"/>
      <c r="H16" s="39"/>
      <c r="I16" s="39"/>
      <c r="J16" s="39"/>
      <c r="K16" s="39"/>
      <c r="L16" s="39"/>
      <c r="M16" s="39"/>
    </row>
    <row r="17" spans="1:13" ht="25.5" customHeight="1" x14ac:dyDescent="0.2">
      <c r="A17" s="446" t="s">
        <v>127</v>
      </c>
      <c r="B17" s="448">
        <f>IF(A7=1,'Calculations (Habers Law)'!K5,IF(A7=2,'Calculations (Habers Law)'!K8,IF(A7=3,'Calculations (Habers Law)'!K11,IF(A7=4,'Calculations (Habers Law)'!K14,IF(A7=5,'Calculations (Habers Law)'!K16,IF(A7=6,'Calculations (Habers Law)'!K18,IF(A7=7,'Calculations (Habers Law)'!K20,'Calculations (Habers Law)'!K22)))))))</f>
        <v>1.3122944785276074E-3</v>
      </c>
      <c r="C17" s="448">
        <f>IF(A7=1,'Calculations (Habers Law)'!K4,IF(A7=2,'Calculations (Habers Law)'!K7,IF(A7=3,'Calculations (Habers Law)'!K10,IF(A7=4,'Calculations (Habers Law)'!K13,IF(A7=5,'Calculations (Habers Law)'!K16,IF(A7=6,'Calculations (Habers Law)'!K17,IF(A7=7,'Calculations (Habers Law)'!K19,'Calculations (Habers Law)'!K21)))))))</f>
        <v>1.3122944785276074E-3</v>
      </c>
      <c r="D17" s="448">
        <f>IF(A7=1,'Calculations (Habers Law)'!K4,IF(A7=2,'Calculations (Habers Law)'!K7,IF(A7=3,'Calculations (Habers Law)'!K10,IF(A7=4,'Calculations (Habers Law)'!K13,IF(A7=5,'Calculations (Habers Law)'!K16,IF(A7=6,'Calculations (Habers Law)'!K17,IF(A7=7,'Calculations (Habers Law)'!K19,"")))))))</f>
        <v>1.3122944785276074E-3</v>
      </c>
      <c r="E17" s="40"/>
      <c r="F17" s="40"/>
      <c r="G17" s="39"/>
      <c r="H17" s="39"/>
      <c r="I17" s="39"/>
      <c r="J17" s="39"/>
      <c r="K17" s="39"/>
      <c r="L17" s="39"/>
      <c r="M17" s="39"/>
    </row>
    <row r="18" spans="1:13" ht="13.5" thickBot="1" x14ac:dyDescent="0.25">
      <c r="A18" s="447"/>
      <c r="B18" s="449"/>
      <c r="C18" s="449"/>
      <c r="D18" s="449"/>
      <c r="E18" s="40"/>
      <c r="F18" s="40"/>
      <c r="G18" s="39"/>
      <c r="H18" s="39"/>
      <c r="I18" s="39"/>
      <c r="J18" s="39"/>
      <c r="K18" s="39"/>
      <c r="L18" s="39"/>
      <c r="M18" s="39"/>
    </row>
    <row r="19" spans="1:13" x14ac:dyDescent="0.2">
      <c r="A19" s="37"/>
      <c r="B19" s="40"/>
      <c r="C19" s="40"/>
      <c r="D19" s="40"/>
      <c r="E19" s="40"/>
      <c r="F19" s="40"/>
      <c r="G19" s="39"/>
      <c r="H19" s="39"/>
      <c r="I19" s="39"/>
      <c r="J19" s="39"/>
      <c r="K19" s="39"/>
      <c r="L19" s="39"/>
      <c r="M19" s="39"/>
    </row>
    <row r="20" spans="1:13" ht="13.5" thickBot="1" x14ac:dyDescent="0.25">
      <c r="A20" s="54"/>
      <c r="B20" s="55"/>
      <c r="C20" s="39"/>
      <c r="D20" s="39"/>
      <c r="E20" s="40"/>
      <c r="F20" s="39"/>
      <c r="G20" s="39"/>
      <c r="H20" s="39"/>
      <c r="I20" s="39"/>
      <c r="J20" s="39"/>
      <c r="K20" s="39"/>
      <c r="L20" s="39"/>
      <c r="M20" s="39"/>
    </row>
    <row r="21" spans="1:13" ht="18.75" thickBot="1" x14ac:dyDescent="0.3">
      <c r="A21" s="53"/>
      <c r="B21" s="429" t="s">
        <v>161</v>
      </c>
      <c r="C21" s="430"/>
      <c r="D21" s="431"/>
      <c r="E21" s="40"/>
      <c r="F21" s="40"/>
      <c r="G21" s="39"/>
      <c r="H21" s="39"/>
      <c r="I21" s="39"/>
      <c r="J21" s="39"/>
      <c r="K21" s="39"/>
      <c r="L21" s="39"/>
      <c r="M21" s="39"/>
    </row>
    <row r="22" spans="1:13" x14ac:dyDescent="0.2">
      <c r="A22" s="36"/>
      <c r="B22" s="440" t="str">
        <f>IF(OR(A7=1,A7=2,A7=3,A7=4,A7=5),"Risk Assessment of Nerve Agent Exposure and Effect",IF(A7=6,"Risk Assessment of HD Inhalation/Occular Agent Exposure and Effect",IF(A7=7,"Risk Assessment of HD PC Vapor Agent Exposure and Effect","Risk Assessment of HD PC Vapor (HOT) Agent Exposure and Effect")))</f>
        <v>Risk Assessment of Nerve Agent Exposure and Effect</v>
      </c>
      <c r="C22" s="450"/>
      <c r="D22" s="451"/>
      <c r="E22" s="40"/>
      <c r="F22" s="40"/>
      <c r="G22" s="39"/>
      <c r="H22" s="39"/>
      <c r="I22" s="39"/>
      <c r="J22" s="39"/>
      <c r="K22" s="39"/>
      <c r="L22" s="39"/>
      <c r="M22" s="39"/>
    </row>
    <row r="23" spans="1:13" ht="13.5" thickBot="1" x14ac:dyDescent="0.25">
      <c r="A23" s="51"/>
      <c r="B23" s="452"/>
      <c r="C23" s="453"/>
      <c r="D23" s="454"/>
      <c r="E23" s="40"/>
      <c r="F23" s="40"/>
      <c r="G23" s="39"/>
      <c r="H23" s="39"/>
      <c r="I23" s="39"/>
      <c r="J23" s="39"/>
      <c r="K23" s="39"/>
      <c r="L23" s="39"/>
      <c r="M23" s="39"/>
    </row>
    <row r="24" spans="1:13" ht="13.5" thickBot="1" x14ac:dyDescent="0.25">
      <c r="A24" s="51"/>
      <c r="B24" s="19" t="str">
        <f>IF(OR(A7=1,A7=2,A7=3,A7=4,A7=5),"Threshold Risk (Th)",IF(A7=6,"Occular Threshold Risk (Th)","PC Vapor Threshold Risk (Th)"))</f>
        <v>Threshold Risk (Th)</v>
      </c>
      <c r="C24" s="19" t="str">
        <f>IF(OR(A7=1,A7=2,A7=3,A7=4,A7=5),"Incapacitation Risk (EC)",IF(A7=6,"Occular Severe Risk (EC)","PC Vapor Severe Risk (EC)"))</f>
        <v>Incapacitation Risk (EC)</v>
      </c>
      <c r="D24" s="11" t="str">
        <f>IF(OR(A7=1,A7=2,A7=3,A7=4,A7=5),"Lethal Risk (LC)",IF(A7=6,"Inhalation Lethal Risk (LC)",IF(A7=7,"PC Vapor Lethal Risk (LC)","")))</f>
        <v>Lethal Risk (LC)</v>
      </c>
      <c r="E24" s="40"/>
      <c r="F24" s="40"/>
      <c r="G24" s="39"/>
      <c r="H24" s="39"/>
      <c r="I24" s="39"/>
      <c r="J24" s="39"/>
      <c r="K24" s="39"/>
      <c r="L24" s="39"/>
      <c r="M24" s="39"/>
    </row>
    <row r="25" spans="1:13" ht="13.5" thickBot="1" x14ac:dyDescent="0.25">
      <c r="A25" s="18" t="s">
        <v>126</v>
      </c>
      <c r="B25" s="20" t="str">
        <f>IF(A7=1,'Calculations (Habers Law)'!N27,IF(A7=2,'Calculations (Habers Law)'!N30,IF(A7=3,'Calculations (Habers Law)'!N33,IF(A7=4,'Calculations (Habers Law)'!N36,IF(A7=5,'Calculations (Habers Law)'!N38,IF(A7=6,'Calculations (Habers Law)'!N40,IF(A7=7,'Calculations (Habers Law)'!N42,'Calculations (Habers Law)'!N44)))))))</f>
        <v>&lt;16%</v>
      </c>
      <c r="C25" s="21" t="str">
        <f>IF(A7=1,'Calculations (Habers Law)'!M26,IF(A7=2,'Calculations (Habers Law)'!M29,IF(A7=3,'Calculations (Habers Law)'!M32,IF(A7=4,'Calculations (Habers Law)'!M35,IF(A7=5,'Calculations (Habers Law)'!M38,IF(A7=6,'Calculations (Habers Law)'!M39,IF(A7=7,'Calculations (Habers Law)'!M41,'Calculations (Habers Law)'!M43)))))))</f>
        <v>&lt;16%</v>
      </c>
      <c r="D25" s="12" t="str">
        <f>IF(A7=1,'Calculations (Habers Law)'!L26,IF(A7=2,'Calculations (Habers Law)'!L29,IF(A7=3,'Calculations (Habers Law)'!L32,IF(A7=4,'Calculations (Habers Law)'!L35,IF(A7=5,'Calculations (Habers Law)'!L38,IF(A7=6,'Calculations (Habers Law)'!L39,IF(A7=7,'Calculations (Habers Law)'!L41,"")))))))</f>
        <v>&lt;16%</v>
      </c>
      <c r="E25" s="40"/>
      <c r="F25" s="40"/>
      <c r="G25" s="39"/>
      <c r="H25" s="39"/>
      <c r="I25" s="39"/>
      <c r="J25" s="39"/>
      <c r="K25" s="39"/>
      <c r="L25" s="39"/>
      <c r="M25" s="39"/>
    </row>
    <row r="26" spans="1:13" ht="25.5" customHeight="1" x14ac:dyDescent="0.2">
      <c r="A26" s="446" t="s">
        <v>128</v>
      </c>
      <c r="B26" s="43" t="str">
        <f>IF(B25="&lt;16%","Th16 Dose (mg-min/M3)",IF(B25="&gt;16%&lt;30%","Th30 Dose (mg-min/M3)",IF(B25="&gt;30%&lt;40%","Th40 Dose (mg-min/M3)",IF(B25="&gt;40%&lt;50%","Th50 Dose (mg-min/M3)",IF(B25="&gt;50%&lt;60%","Th60 Dose (mg-min/M3)",IF(B25="&gt;60%&lt;70%","Th70 Dose (mg-min/M3)",IF(OR(B25="&gt;70%&lt;84%",B25="&gt;84%"),"Th84 Dose (mg-min/M3)","N/A")))))))</f>
        <v>Th16 Dose (mg-min/M3)</v>
      </c>
      <c r="C26" s="43" t="str">
        <f>IF(C25="&lt;16%","Th16 Dose (mg-min/M3)",IF(C25="&gt;16%&lt;30%","Th30 Dose (mg-min/M3)",IF(C25="&gt;30%&lt;40%","Th40 Dose (mg-min/M3)",IF(C25="&gt;40%&lt;50%","Th50 Dose (mg-min/M3)",IF(C25="&gt;50%&lt;60%","Th60 Dose (mg-min/M3)",IF(C25="&gt;60%&lt;70%","Th70 Dose (mg-min/M3)",IF(OR(C25="&gt;70%&lt;84%",C25="&gt;84%"),"Th84 Dose (mg-min/M3)","N/A")))))))</f>
        <v>Th16 Dose (mg-min/M3)</v>
      </c>
      <c r="D26" s="44" t="str">
        <f>IF(D25="&lt;16%","Th16 Dose (mg-min/M3)",IF(D25="&gt;16%&lt;30%","Th30 Dose (mg-min/M3)",IF(D25="&gt;30%&lt;40%","Th40 Dose (mg-min/M3)",IF(D25="&gt;40%&lt;50%","Th50 Dose (mg-min/M3)",IF(D25="&gt;50%&lt;60%","Th60 Dose (mg-min/M3)",IF(D25="&gt;60%&lt;70%","Th70 Dose (mg-min/M3)",IF(OR(D25="&gt;70%&lt;84%",D25="&gt;84%"),"Th84 Dose (mg-min/M3)","")))))))</f>
        <v>Th16 Dose (mg-min/M3)</v>
      </c>
      <c r="E26" s="40"/>
      <c r="F26" s="40"/>
      <c r="G26" s="39"/>
      <c r="H26" s="39"/>
      <c r="I26" s="39"/>
      <c r="J26" s="39"/>
      <c r="K26" s="39"/>
      <c r="L26" s="39"/>
      <c r="M26" s="39"/>
    </row>
    <row r="27" spans="1:13" ht="13.5" thickBot="1" x14ac:dyDescent="0.25">
      <c r="A27" s="447"/>
      <c r="B27" s="45">
        <f>IF(A7=1,'Calculations (Habers Law)'!Q27,IF(A7=2,'Calculations (Habers Law)'!Q30,IF(A7=3,'Calculations (Habers Law)'!Q33,IF(A7=4,'Calculations (Habers Law)'!Q36,IF(A7=5,'Calculations (Habers Law)'!Q38,IF(A7=6,'Calculations (Habers Law)'!Q40,IF(A7=7,'Calculations (Habers Law)'!Q42,'Calculations (Habers Law)'!Q44)))))))</f>
        <v>2.8117066259517456E-2</v>
      </c>
      <c r="C27" s="46">
        <f>IF(A7=1,'Calculations (Habers Law)'!P26,IF(A7=2,'Calculations (Habers Law)'!P29,IF(A7=3,'Calculations (Habers Law)'!P32,IF(A7=4,'Calculations (Habers Law)'!P35,IF(A7=5,'Calculations (Habers Law)'!P38,IF(A7=6,'Calculations (Habers Law)'!P39,IF(A7=7,'Calculations (Habers Law)'!P41,'Calculations (Habers Law)'!P43)))))))</f>
        <v>3.4064603452898061</v>
      </c>
      <c r="D27" s="47">
        <f>IF(A7=1,'Calculations (Habers Law)'!O26,IF(A7=2,'Calculations (Habers Law)'!O29,IF(A7=3,'Calculations (Habers Law)'!O32,IF(A7=4,'Calculations (Habers Law)'!O35,IF(A7=5,'Calculations (Habers Law)'!O38,IF(A7=6,'Calculations (Habers Law)'!O39,IF(A7=7,'Calculations (Habers Law)'!O41,"")))))))</f>
        <v>5.109690517934709</v>
      </c>
      <c r="E27" s="40"/>
      <c r="F27" s="40"/>
      <c r="G27" s="39"/>
      <c r="H27" s="39"/>
      <c r="I27" s="39"/>
      <c r="J27" s="39"/>
      <c r="K27" s="39"/>
      <c r="L27" s="39"/>
      <c r="M27" s="39"/>
    </row>
    <row r="28" spans="1:13" ht="25.5" customHeight="1" x14ac:dyDescent="0.2">
      <c r="A28" s="446" t="s">
        <v>127</v>
      </c>
      <c r="B28" s="448">
        <f>IF(A7=1,'Calculations (Habers Law)'!K5,IF(A7=2,'Calculations (Habers Law)'!K8,IF(A7=3,'Calculations (Habers Law)'!K11,IF(A7=4,'Calculations (Habers Law)'!K14,IF(A7=5,'Calculations (Habers Law)'!K16,IF(A7=6,'Calculations (Habers Law)'!K18,IF(A7=7,'Calculations (Habers Law)'!K20,'Calculations (Habers Law)'!K22)))))))</f>
        <v>1.3122944785276074E-3</v>
      </c>
      <c r="C28" s="448">
        <f>IF(A7=1,'Calculations (Habers Law)'!K4,IF(A7=2,'Calculations (Habers Law)'!K7,IF(A7=3,'Calculations (Habers Law)'!K10,IF(A7=4,'Calculations (Habers Law)'!K13,IF(A7=5,'Calculations (Habers Law)'!K16,IF(A7=6,'Calculations (Habers Law)'!K17,IF(A7=7,'Calculations (Habers Law)'!K19,'Calculations (Habers Law)'!K21)))))))</f>
        <v>1.3122944785276074E-3</v>
      </c>
      <c r="D28" s="448">
        <f>IF(A7=1,'Calculations (Habers Law)'!K4,IF(A7=2,'Calculations (Habers Law)'!K7,IF(A7=3,'Calculations (Habers Law)'!K10,IF(A7=4,'Calculations (Habers Law)'!K13,IF(A7=5,'Calculations (Habers Law)'!K16,IF(A7=6,'Calculations (Habers Law)'!K17,IF(A7=7,'Calculations (Habers Law)'!K19,"")))))))</f>
        <v>1.3122944785276074E-3</v>
      </c>
      <c r="E28" s="48"/>
      <c r="F28" s="40"/>
      <c r="G28" s="39"/>
      <c r="H28" s="39"/>
      <c r="I28" s="39"/>
      <c r="J28" s="39"/>
      <c r="K28" s="39"/>
      <c r="L28" s="39"/>
      <c r="M28" s="39"/>
    </row>
    <row r="29" spans="1:13" ht="13.5" thickBot="1" x14ac:dyDescent="0.25">
      <c r="A29" s="447"/>
      <c r="B29" s="455"/>
      <c r="C29" s="455"/>
      <c r="D29" s="455"/>
      <c r="E29" s="40"/>
      <c r="F29" s="40"/>
      <c r="G29" s="39"/>
      <c r="H29" s="39"/>
      <c r="I29" s="39"/>
      <c r="J29" s="39"/>
      <c r="K29" s="39"/>
      <c r="L29" s="39"/>
      <c r="M29" s="39"/>
    </row>
    <row r="30" spans="1:13" x14ac:dyDescent="0.2">
      <c r="A30" s="52"/>
      <c r="B30" s="40"/>
      <c r="C30" s="40"/>
      <c r="D30" s="40"/>
      <c r="E30" s="48"/>
      <c r="F30" s="40"/>
      <c r="G30" s="39"/>
      <c r="H30" s="39"/>
      <c r="I30" s="39"/>
      <c r="J30" s="39"/>
      <c r="K30" s="39"/>
      <c r="L30" s="39"/>
      <c r="M30" s="39"/>
    </row>
    <row r="31" spans="1:13" ht="13.5" thickBot="1" x14ac:dyDescent="0.25">
      <c r="A31" s="39"/>
      <c r="B31" s="39"/>
      <c r="C31" s="39"/>
      <c r="D31" s="39"/>
      <c r="E31" s="40"/>
      <c r="F31" s="40"/>
      <c r="G31" s="39"/>
      <c r="H31" s="39"/>
      <c r="I31" s="39"/>
      <c r="J31" s="39"/>
      <c r="K31" s="39"/>
      <c r="L31" s="39"/>
      <c r="M31" s="39"/>
    </row>
    <row r="32" spans="1:13" ht="18.75" thickBot="1" x14ac:dyDescent="0.3">
      <c r="A32" s="50"/>
      <c r="B32" s="429" t="s">
        <v>162</v>
      </c>
      <c r="C32" s="430"/>
      <c r="D32" s="431"/>
      <c r="E32" s="40"/>
      <c r="F32" s="40"/>
      <c r="G32" s="39"/>
      <c r="H32" s="39"/>
      <c r="I32" s="39"/>
      <c r="J32" s="39"/>
      <c r="K32" s="39"/>
      <c r="L32" s="39"/>
      <c r="M32" s="39"/>
    </row>
    <row r="33" spans="1:13" x14ac:dyDescent="0.2">
      <c r="A33" s="36"/>
      <c r="B33" s="440" t="str">
        <f>IF(OR(A7=1,A7=2,A7=3,A7=4,A7=5),"Risk Assessment of Nerve Agent Exposure and Effect",IF(A7=6,"Risk Assessment of HD Inhalation/Occular Agent Exposure and Effect",IF(A7=7,"Risk Assessment of HD PC Vapor Agent Exposure and Effect","Risk Assessment of HD PC Vapor (HOT) Agent Exposure and Effect")))</f>
        <v>Risk Assessment of Nerve Agent Exposure and Effect</v>
      </c>
      <c r="C33" s="450"/>
      <c r="D33" s="451"/>
      <c r="E33" s="40"/>
      <c r="F33" s="40"/>
      <c r="G33" s="39"/>
      <c r="H33" s="39"/>
      <c r="I33" s="39"/>
      <c r="J33" s="39"/>
      <c r="K33" s="39"/>
      <c r="L33" s="39"/>
      <c r="M33" s="39"/>
    </row>
    <row r="34" spans="1:13" ht="13.5" thickBot="1" x14ac:dyDescent="0.25">
      <c r="A34" s="51"/>
      <c r="B34" s="452"/>
      <c r="C34" s="453"/>
      <c r="D34" s="454"/>
      <c r="E34" s="40"/>
      <c r="F34" s="40"/>
      <c r="G34" s="39"/>
      <c r="H34" s="39"/>
      <c r="I34" s="39"/>
      <c r="J34" s="39"/>
      <c r="K34" s="39"/>
      <c r="L34" s="39"/>
      <c r="M34" s="39"/>
    </row>
    <row r="35" spans="1:13" ht="13.5" thickBot="1" x14ac:dyDescent="0.25">
      <c r="A35" s="51"/>
      <c r="B35" s="19" t="str">
        <f>IF(OR(A7=1,A7=2,A7=3,A7=4,A7=5),"Threshold Risk (Th)",IF(A7=6,"Occular Threshold Risk (Th)","PC Vapor Threshold Risk (Th)"))</f>
        <v>Threshold Risk (Th)</v>
      </c>
      <c r="C35" s="19" t="str">
        <f>IF(OR(A7=1,A7=2,A7=3,A7=4,A7=5),"Incapacitation Risk (EC)",IF(A7=6,"Occular Severe Risk (EC)","PC Vapor Severe Risk (EC)"))</f>
        <v>Incapacitation Risk (EC)</v>
      </c>
      <c r="D35" s="11" t="str">
        <f>IF(OR(A7=1,A7=2,A7=3,A7=4,A7=5),"Lethal Risk (LC)",IF(A7=6,"Inhalation Lethal Risk (LC)",IF(A7=7,"PC Vapor Lethal Risk (LC)","")))</f>
        <v>Lethal Risk (LC)</v>
      </c>
      <c r="E35" s="40"/>
      <c r="F35" s="40"/>
      <c r="G35" s="39"/>
      <c r="H35" s="39"/>
      <c r="I35" s="39"/>
      <c r="J35" s="39"/>
      <c r="K35" s="39"/>
      <c r="L35" s="39"/>
      <c r="M35" s="39"/>
    </row>
    <row r="36" spans="1:13" ht="13.5" thickBot="1" x14ac:dyDescent="0.25">
      <c r="A36" s="18" t="s">
        <v>126</v>
      </c>
      <c r="B36" s="20" t="str">
        <f>IF(A7=1,'Calculations (Habers Law)'!N49,IF(A7=2,'Calculations (Habers Law)'!N52,IF(A7=3,'Calculations (Habers Law)'!N55,IF(A7=4,'Calculations (Habers Law)'!N58,IF(A7=5,'Calculations (Habers Law)'!N60,IF(A7=6,'Calculations (Habers Law)'!N63,IF(A7=7,'Calculations (Habers Law)'!N65,'Calculations (Habers Law)'!N67)))))))</f>
        <v>&lt;16%</v>
      </c>
      <c r="C36" s="21" t="str">
        <f>IF(A7=1,'Calculations (Habers Law)'!M48,IF(A7=2,'Calculations (Habers Law)'!M51,IF(A7=3,'Calculations (Habers Law)'!M54,IF(A7=4,'Calculations (Habers Law)'!M57,IF(A7=5,'Calculations (Habers Law)'!M60,IF(A7=6,'Calculations (Habers Law)'!M62,IF(A7=7,'Calculations (Habers Law)'!M64,'Calculations (Habers Law)'!M66)))))))</f>
        <v>&lt;16%</v>
      </c>
      <c r="D36" s="12" t="str">
        <f>IF(A7=1,'Calculations (Habers Law)'!L48,IF(A7=2,'Calculations (Habers Law)'!L51,IF(A7=3,'Calculations (Habers Law)'!L54,IF(A7=4,'Calculations (Habers Law)'!L57,IF(A7=5,'Calculations (Habers Law)'!L60,IF(A7=6,'Calculations (Habers Law)'!L62,IF(A7=7,'Calculations (Habers Law)'!L64,"")))))))</f>
        <v>&lt;16%</v>
      </c>
      <c r="E36" s="40"/>
      <c r="F36" s="40"/>
      <c r="G36" s="39"/>
      <c r="H36" s="39"/>
      <c r="I36" s="39"/>
      <c r="J36" s="39"/>
      <c r="K36" s="39"/>
      <c r="L36" s="39"/>
      <c r="M36" s="39"/>
    </row>
    <row r="37" spans="1:13" ht="25.5" customHeight="1" x14ac:dyDescent="0.2">
      <c r="A37" s="446" t="s">
        <v>128</v>
      </c>
      <c r="B37" s="43" t="str">
        <f>IF(B36="&lt;16%","Th16 Dose (mg-min/M3)",IF(B36="&gt;16%&lt;30%","Th30 Dose (mg-min/M3)",IF(B36="&gt;30%&lt;40%","Th40 Dose (mg-min/M3)",IF(B36="&gt;40%&lt;50%","Th50 Dose (mg-min/M3)",IF(B36="&gt;50%&lt;60%","Th60 Dose (mg-min/M3)",IF(B36="&gt;60%&lt;70%","Th70 Dose (mg-min/M3)",IF(OR(B36="&gt;70%&lt;84%",B36="&gt;84%"),"Th84 Dose (mg-min/M3)","N/A")))))))</f>
        <v>Th16 Dose (mg-min/M3)</v>
      </c>
      <c r="C37" s="43" t="str">
        <f>IF(C36="&lt;16%","Th16 Dose (mg-min/M3)",IF(C36="&gt;16%&lt;30%","Th30 Dose (mg-min/M3)",IF(C36="&gt;30%&lt;40%","Th40 Dose (mg-min/M3)",IF(C36="&gt;40%&lt;50%","Th50 Dose (mg-min/M3)",IF(C36="&gt;50%&lt;60%","Th60 Dose (mg-min/M3)",IF(C36="&gt;60%&lt;70%","Th70 Dose (mg-min/M3)",IF(OR(C36="&gt;70%&lt;84%",C36="&gt;84%"),"Th84 Dose (mg-min/M3)","N/A")))))))</f>
        <v>Th16 Dose (mg-min/M3)</v>
      </c>
      <c r="D37" s="44" t="str">
        <f>IF(D36="&lt;16%","Th16 Dose (mg-min/M3)",IF(D36="&gt;16%&lt;30%","Th30 Dose (mg-min/M3)",IF(D36="&gt;30%&lt;40%","Th40 Dose (mg-min/M3)",IF(D36="&gt;40%&lt;50%","Th50 Dose (mg-min/M3)",IF(D36="&gt;50%&lt;60%","Th60 Dose (mg-min/M3)",IF(D36="&gt;60%&lt;70%","Th70 Dose (mg-min/M3)",IF(OR(D36="&gt;70%&lt;84%",D36="&gt;84%"),"Th84 Dose (mg-min/M3)","")))))))</f>
        <v>Th16 Dose (mg-min/M3)</v>
      </c>
      <c r="E37" s="40"/>
      <c r="F37" s="40"/>
      <c r="G37" s="39"/>
      <c r="H37" s="39"/>
      <c r="I37" s="39"/>
      <c r="J37" s="39"/>
      <c r="K37" s="39"/>
      <c r="L37" s="39"/>
      <c r="M37" s="39"/>
    </row>
    <row r="38" spans="1:13" ht="13.5" thickBot="1" x14ac:dyDescent="0.25">
      <c r="A38" s="447"/>
      <c r="B38" s="45">
        <f>IF(A7=1,'Calculations (Habers Law)'!Q49,IF(A7=2,'Calculations (Habers Law)'!Q52,IF(A7=3,'Calculations (Habers Law)'!Q55,IF(A7=4,'Calculations (Habers Law)'!Q58,IF(A7=5,'Calculations (Habers Law)'!Q60,IF(A7=6,'Calculations (Habers Law)'!Q63,IF(A7=7,'Calculations (Habers Law)'!Q65,'Calculations (Habers Law)'!Q67)))))))</f>
        <v>1.8744710839678304E-2</v>
      </c>
      <c r="C38" s="46">
        <f>IF(A7=1,'Calculations (Habers Law)'!P48,IF(A7=2,'Calculations (Habers Law)'!P51,IF(A7=3,'Calculations (Habers Law)'!P54,IF(A7=4,'Calculations (Habers Law)'!P57,IF(A7=5,'Calculations (Habers Law)'!P60,IF(A7=6,'Calculations (Habers Law)'!P62,IF(A7=7,'Calculations (Habers Law)'!P64,'Calculations (Habers Law)'!P66)))))))</f>
        <v>2.2709735635265376</v>
      </c>
      <c r="D38" s="47">
        <f>IF(A7=1,'Calculations (Habers Law)'!O48,IF(A7=2,'Calculations (Habers Law)'!O51,IF(A7=3,'Calculations (Habers Law)'!O54,IF(A7=4,'Calculations (Habers Law)'!O57,IF(A7=5,'Calculations (Habers Law)'!O60,IF(A7=6,'Calculations (Habers Law)'!O62,IF(A7=7,'Calculations (Habers Law)'!O64,"")))))))</f>
        <v>3.4064603452898061</v>
      </c>
      <c r="E38" s="40"/>
      <c r="F38" s="40"/>
      <c r="G38" s="39"/>
      <c r="H38" s="39"/>
      <c r="I38" s="39"/>
      <c r="J38" s="39"/>
      <c r="K38" s="39"/>
      <c r="L38" s="39"/>
      <c r="M38" s="39"/>
    </row>
    <row r="39" spans="1:13" ht="25.5" customHeight="1" x14ac:dyDescent="0.2">
      <c r="A39" s="446" t="s">
        <v>127</v>
      </c>
      <c r="B39" s="448">
        <f>IF(A7=1,'Calculations (Habers Law)'!K5,IF(A7=2,'Calculations (Habers Law)'!K8,IF(A7=3,'Calculations (Habers Law)'!K11,IF(A7=4,'Calculations (Habers Law)'!K14,IF(A7=5,'Calculations (Habers Law)'!K16,IF(A7=6,'Calculations (Habers Law)'!K18,IF(A7=7,'Calculations (Habers Law)'!K20,'Calculations (Habers Law)'!K22)))))))</f>
        <v>1.3122944785276074E-3</v>
      </c>
      <c r="C39" s="448">
        <f>IF(A7=1,'Calculations (Habers Law)'!K4,IF(A7=2,'Calculations (Habers Law)'!K7,IF(A7=3,'Calculations (Habers Law)'!K10,IF(A7=4,'Calculations (Habers Law)'!K13,IF(A7=5,'Calculations (Habers Law)'!K16,IF(A7=6,'Calculations (Habers Law)'!K17,IF(A7=7,'Calculations (Habers Law)'!K19,'Calculations (Habers Law)'!K21)))))))</f>
        <v>1.3122944785276074E-3</v>
      </c>
      <c r="D39" s="448">
        <f>IF(A7=1,'Calculations (Habers Law)'!K4,IF(A7=2,'Calculations (Habers Law)'!K7,IF(A7=3,'Calculations (Habers Law)'!K10,IF(A7=4,'Calculations (Habers Law)'!K13,IF(A7=5,'Calculations (Habers Law)'!K16,IF(A7=6,'Calculations (Habers Law)'!K17,IF(A7=7,'Calculations (Habers Law)'!K19,"")))))))</f>
        <v>1.3122944785276074E-3</v>
      </c>
      <c r="E39" s="40"/>
      <c r="F39" s="40"/>
      <c r="G39" s="39"/>
      <c r="H39" s="39"/>
      <c r="I39" s="39"/>
      <c r="J39" s="39"/>
      <c r="K39" s="39"/>
      <c r="L39" s="39"/>
      <c r="M39" s="39"/>
    </row>
    <row r="40" spans="1:13" ht="13.5" thickBot="1" x14ac:dyDescent="0.25">
      <c r="A40" s="447"/>
      <c r="B40" s="455"/>
      <c r="C40" s="455"/>
      <c r="D40" s="455"/>
      <c r="E40" s="40"/>
      <c r="F40" s="40"/>
      <c r="G40" s="39"/>
      <c r="H40" s="39"/>
      <c r="I40" s="39"/>
      <c r="J40" s="39"/>
      <c r="K40" s="39"/>
      <c r="L40" s="39"/>
      <c r="M40" s="39"/>
    </row>
    <row r="41" spans="1:13" x14ac:dyDescent="0.2">
      <c r="A41" s="37"/>
      <c r="B41" s="40"/>
      <c r="C41" s="40"/>
      <c r="D41" s="40"/>
      <c r="E41" s="40"/>
      <c r="F41" s="40"/>
      <c r="G41" s="39"/>
      <c r="H41" s="39"/>
      <c r="I41" s="39"/>
      <c r="J41" s="39"/>
      <c r="K41" s="39"/>
      <c r="L41" s="39"/>
      <c r="M41" s="39"/>
    </row>
    <row r="42" spans="1:13" x14ac:dyDescent="0.2">
      <c r="A42" s="39"/>
      <c r="B42" s="39"/>
      <c r="C42" s="39"/>
      <c r="D42" s="39"/>
      <c r="E42" s="39"/>
      <c r="F42" s="40"/>
      <c r="G42" s="39"/>
      <c r="H42" s="39"/>
      <c r="I42" s="39"/>
      <c r="J42" s="39"/>
      <c r="K42" s="39"/>
      <c r="L42" s="39"/>
      <c r="M42" s="39"/>
    </row>
    <row r="43" spans="1:13" x14ac:dyDescent="0.2">
      <c r="A43" s="39"/>
      <c r="B43" s="39"/>
      <c r="C43" s="39"/>
      <c r="D43" s="39"/>
      <c r="E43" s="39"/>
      <c r="F43" s="39"/>
      <c r="G43" s="39"/>
      <c r="H43" s="39"/>
      <c r="I43" s="39"/>
      <c r="J43" s="39"/>
      <c r="K43" s="39"/>
      <c r="L43" s="39"/>
      <c r="M43" s="39"/>
    </row>
    <row r="44" spans="1:13" x14ac:dyDescent="0.2">
      <c r="A44" s="39"/>
      <c r="B44" s="39"/>
      <c r="C44" s="39"/>
      <c r="D44" s="39"/>
      <c r="E44" s="39"/>
      <c r="F44" s="39"/>
      <c r="G44" s="39"/>
      <c r="H44" s="39"/>
      <c r="I44" s="39"/>
      <c r="J44" s="39"/>
      <c r="K44" s="39"/>
      <c r="L44" s="39"/>
      <c r="M44" s="39"/>
    </row>
    <row r="45" spans="1:13" x14ac:dyDescent="0.2">
      <c r="A45" s="39"/>
      <c r="B45" s="39"/>
      <c r="C45" s="39"/>
      <c r="D45" s="39"/>
      <c r="E45" s="39"/>
      <c r="F45" s="39"/>
      <c r="G45" s="39"/>
      <c r="H45" s="39"/>
      <c r="I45" s="39"/>
      <c r="J45" s="39"/>
      <c r="K45" s="39"/>
      <c r="L45" s="39"/>
      <c r="M45" s="39"/>
    </row>
    <row r="46" spans="1:13" x14ac:dyDescent="0.2">
      <c r="A46" s="39"/>
      <c r="B46" s="39"/>
      <c r="C46" s="39"/>
      <c r="D46" s="39"/>
      <c r="E46" s="39"/>
      <c r="F46" s="39"/>
      <c r="G46" s="39"/>
      <c r="H46" s="39"/>
      <c r="I46" s="39"/>
      <c r="J46" s="39"/>
      <c r="K46" s="39"/>
      <c r="L46" s="39"/>
      <c r="M46" s="39"/>
    </row>
    <row r="47" spans="1:13" x14ac:dyDescent="0.2">
      <c r="A47" s="39"/>
      <c r="B47" s="39"/>
      <c r="C47" s="39"/>
      <c r="D47" s="39"/>
      <c r="E47" s="39"/>
      <c r="F47" s="39"/>
      <c r="G47" s="39"/>
      <c r="H47" s="39"/>
      <c r="I47" s="39"/>
      <c r="J47" s="39"/>
      <c r="K47" s="39"/>
      <c r="L47" s="39"/>
      <c r="M47" s="39"/>
    </row>
    <row r="48" spans="1:13" x14ac:dyDescent="0.2">
      <c r="A48" s="39"/>
      <c r="B48" s="39"/>
      <c r="C48" s="39"/>
      <c r="D48" s="39"/>
      <c r="E48" s="39"/>
      <c r="F48" s="39"/>
      <c r="G48" s="39"/>
      <c r="H48" s="39"/>
      <c r="I48" s="39"/>
      <c r="J48" s="39"/>
      <c r="K48" s="39"/>
      <c r="L48" s="39"/>
      <c r="M48" s="39"/>
    </row>
    <row r="49" spans="1:13" x14ac:dyDescent="0.2">
      <c r="A49" s="39"/>
      <c r="B49" s="39"/>
      <c r="C49" s="39"/>
      <c r="D49" s="39"/>
      <c r="E49" s="39"/>
      <c r="F49" s="39"/>
      <c r="G49" s="39"/>
      <c r="H49" s="39"/>
      <c r="I49" s="39"/>
      <c r="J49" s="39"/>
      <c r="K49" s="39"/>
      <c r="L49" s="39"/>
      <c r="M49" s="39"/>
    </row>
    <row r="50" spans="1:13" x14ac:dyDescent="0.2">
      <c r="A50" s="39"/>
      <c r="B50" s="39"/>
      <c r="C50" s="39"/>
      <c r="D50" s="39"/>
      <c r="E50" s="39"/>
      <c r="F50" s="39"/>
      <c r="G50" s="39"/>
      <c r="H50" s="39"/>
      <c r="I50" s="39"/>
      <c r="J50" s="39"/>
      <c r="K50" s="39"/>
      <c r="L50" s="39"/>
      <c r="M50" s="39"/>
    </row>
    <row r="51" spans="1:13" x14ac:dyDescent="0.2">
      <c r="A51" s="39"/>
      <c r="B51" s="39"/>
      <c r="C51" s="39"/>
      <c r="D51" s="39"/>
      <c r="E51" s="39"/>
      <c r="F51" s="39"/>
      <c r="G51" s="39"/>
      <c r="H51" s="39"/>
      <c r="I51" s="39"/>
      <c r="J51" s="39"/>
      <c r="K51" s="39"/>
      <c r="L51" s="39"/>
      <c r="M51" s="39"/>
    </row>
    <row r="52" spans="1:13" x14ac:dyDescent="0.2">
      <c r="A52" s="39"/>
      <c r="B52" s="39"/>
      <c r="C52" s="39"/>
      <c r="D52" s="39"/>
      <c r="E52" s="39"/>
      <c r="F52" s="39"/>
      <c r="G52" s="39"/>
      <c r="H52" s="39"/>
      <c r="I52" s="39"/>
      <c r="J52" s="39"/>
      <c r="K52" s="39"/>
      <c r="L52" s="39"/>
      <c r="M52" s="39"/>
    </row>
    <row r="53" spans="1:13" x14ac:dyDescent="0.2">
      <c r="A53" s="39"/>
      <c r="B53" s="39"/>
      <c r="C53" s="39"/>
      <c r="D53" s="39"/>
      <c r="E53" s="39"/>
      <c r="F53" s="39"/>
      <c r="G53" s="39"/>
      <c r="H53" s="39"/>
      <c r="I53" s="39"/>
      <c r="J53" s="39"/>
      <c r="K53" s="39"/>
      <c r="L53" s="39"/>
      <c r="M53" s="39"/>
    </row>
    <row r="54" spans="1:13" x14ac:dyDescent="0.2">
      <c r="A54" s="39"/>
      <c r="B54" s="39"/>
      <c r="C54" s="39"/>
      <c r="D54" s="39"/>
      <c r="E54" s="39"/>
    </row>
  </sheetData>
  <mergeCells count="25">
    <mergeCell ref="B33:D34"/>
    <mergeCell ref="A37:A38"/>
    <mergeCell ref="A39:A40"/>
    <mergeCell ref="B39:B40"/>
    <mergeCell ref="C39:C40"/>
    <mergeCell ref="D39:D40"/>
    <mergeCell ref="A26:A27"/>
    <mergeCell ref="A28:A29"/>
    <mergeCell ref="B28:B29"/>
    <mergeCell ref="C28:C29"/>
    <mergeCell ref="D28:D29"/>
    <mergeCell ref="B32:D32"/>
    <mergeCell ref="A15:A16"/>
    <mergeCell ref="A17:A18"/>
    <mergeCell ref="B17:B18"/>
    <mergeCell ref="C17:C18"/>
    <mergeCell ref="D17:D18"/>
    <mergeCell ref="B22:D23"/>
    <mergeCell ref="B21:D21"/>
    <mergeCell ref="B4:C4"/>
    <mergeCell ref="B1:C1"/>
    <mergeCell ref="B2:C2"/>
    <mergeCell ref="B3:C3"/>
    <mergeCell ref="B10:D10"/>
    <mergeCell ref="B11:D12"/>
  </mergeCells>
  <phoneticPr fontId="0" type="noConversion"/>
  <conditionalFormatting sqref="C14 C25 C36">
    <cfRule type="cellIs" dxfId="31" priority="1" stopIfTrue="1" operator="between">
      <formula>"&gt;16%&lt;30%"</formula>
      <formula>"&gt;84%"</formula>
    </cfRule>
  </conditionalFormatting>
  <conditionalFormatting sqref="D14 D25 D36">
    <cfRule type="cellIs" dxfId="30" priority="2" stopIfTrue="1" operator="between">
      <formula>"&gt;16%&lt;30"</formula>
      <formula>"&gt;84%"</formula>
    </cfRule>
  </conditionalFormatting>
  <conditionalFormatting sqref="B14 B25 B36">
    <cfRule type="cellIs" dxfId="29" priority="3" stopIfTrue="1" operator="between">
      <formula>"&gt;60%&lt;70%"</formula>
      <formula>"&gt;84%"</formula>
    </cfRule>
    <cfRule type="cellIs" dxfId="28" priority="4" stopIfTrue="1" operator="between">
      <formula>"&gt;16%&lt;30%"</formula>
      <formula>"&gt;50%&lt;60%"</formula>
    </cfRule>
    <cfRule type="cellIs" dxfId="27" priority="5" stopIfTrue="1" operator="equal">
      <formula>"&lt;16%"</formula>
    </cfRule>
  </conditionalFormatting>
  <conditionalFormatting sqref="B39">
    <cfRule type="cellIs" dxfId="26" priority="6" stopIfTrue="1" operator="lessThanOrEqual">
      <formula>$B$38*0.75</formula>
    </cfRule>
    <cfRule type="cellIs" dxfId="25" priority="7" stopIfTrue="1" operator="between">
      <formula>$B$38*0.8</formula>
      <formula>$B$38*0.99</formula>
    </cfRule>
    <cfRule type="cellIs" dxfId="24" priority="8" stopIfTrue="1" operator="greaterThan">
      <formula>$B$38*0.99</formula>
    </cfRule>
  </conditionalFormatting>
  <conditionalFormatting sqref="C39">
    <cfRule type="cellIs" dxfId="23" priority="9" stopIfTrue="1" operator="lessThanOrEqual">
      <formula>$C$38*0.75</formula>
    </cfRule>
    <cfRule type="cellIs" dxfId="22" priority="10" stopIfTrue="1" operator="between">
      <formula>$C$38*0.8</formula>
      <formula>$C$38*0.99</formula>
    </cfRule>
    <cfRule type="cellIs" dxfId="21" priority="11" stopIfTrue="1" operator="greaterThan">
      <formula>$C$38*0.99</formula>
    </cfRule>
  </conditionalFormatting>
  <conditionalFormatting sqref="D39">
    <cfRule type="cellIs" dxfId="20" priority="12" stopIfTrue="1" operator="lessThanOrEqual">
      <formula>$D$38*0.75</formula>
    </cfRule>
    <cfRule type="cellIs" dxfId="19" priority="13" stopIfTrue="1" operator="between">
      <formula>$D$38*0.8</formula>
      <formula>$D$38*0.99</formula>
    </cfRule>
    <cfRule type="cellIs" dxfId="18" priority="14" stopIfTrue="1" operator="greaterThan">
      <formula>$D$38*0.99</formula>
    </cfRule>
  </conditionalFormatting>
  <conditionalFormatting sqref="B28">
    <cfRule type="cellIs" dxfId="17" priority="15" stopIfTrue="1" operator="lessThanOrEqual">
      <formula>$B$27*0.75</formula>
    </cfRule>
    <cfRule type="cellIs" dxfId="16" priority="16" stopIfTrue="1" operator="between">
      <formula>$B$27*0.8</formula>
      <formula>$B$27*0.99</formula>
    </cfRule>
    <cfRule type="cellIs" dxfId="15" priority="17" stopIfTrue="1" operator="greaterThan">
      <formula>$B$27*0.99</formula>
    </cfRule>
  </conditionalFormatting>
  <conditionalFormatting sqref="C28">
    <cfRule type="cellIs" dxfId="14" priority="18" stopIfTrue="1" operator="lessThanOrEqual">
      <formula>$C$27*0.75</formula>
    </cfRule>
    <cfRule type="cellIs" dxfId="13" priority="19" stopIfTrue="1" operator="between">
      <formula>$C$27*0.8</formula>
      <formula>$C$27*0.99</formula>
    </cfRule>
    <cfRule type="cellIs" dxfId="12" priority="20" stopIfTrue="1" operator="greaterThan">
      <formula>$C$27*0.99</formula>
    </cfRule>
  </conditionalFormatting>
  <conditionalFormatting sqref="D28">
    <cfRule type="cellIs" dxfId="11" priority="21" stopIfTrue="1" operator="lessThanOrEqual">
      <formula>$D$27*0.75</formula>
    </cfRule>
    <cfRule type="cellIs" dxfId="10" priority="22" stopIfTrue="1" operator="between">
      <formula>$D$27*0.8</formula>
      <formula>$D$27*0.99</formula>
    </cfRule>
    <cfRule type="cellIs" dxfId="9" priority="23" stopIfTrue="1" operator="greaterThan">
      <formula>$D$27*0.99</formula>
    </cfRule>
  </conditionalFormatting>
  <conditionalFormatting sqref="B17">
    <cfRule type="cellIs" dxfId="8" priority="24" stopIfTrue="1" operator="lessThanOrEqual">
      <formula>$B$16*0.75</formula>
    </cfRule>
    <cfRule type="cellIs" dxfId="7" priority="25" stopIfTrue="1" operator="between">
      <formula>$B$16*0.8</formula>
      <formula>$B$16*0.99</formula>
    </cfRule>
    <cfRule type="cellIs" dxfId="6" priority="26" stopIfTrue="1" operator="greaterThan">
      <formula>$B$16*0.99</formula>
    </cfRule>
  </conditionalFormatting>
  <conditionalFormatting sqref="C17">
    <cfRule type="cellIs" dxfId="5" priority="27" stopIfTrue="1" operator="lessThanOrEqual">
      <formula>$C$16*0.75</formula>
    </cfRule>
    <cfRule type="cellIs" dxfId="4" priority="28" stopIfTrue="1" operator="between">
      <formula>$C$16*0.8</formula>
      <formula>$C$16*0.99</formula>
    </cfRule>
    <cfRule type="cellIs" dxfId="3" priority="29" stopIfTrue="1" operator="greaterThan">
      <formula>$C$16*0.99</formula>
    </cfRule>
  </conditionalFormatting>
  <conditionalFormatting sqref="D17">
    <cfRule type="cellIs" dxfId="2" priority="30" stopIfTrue="1" operator="lessThanOrEqual">
      <formula>$D$16*0.75</formula>
    </cfRule>
    <cfRule type="cellIs" dxfId="1" priority="31" stopIfTrue="1" operator="between">
      <formula>$D$16*0.8</formula>
      <formula>$D$16*0.99</formula>
    </cfRule>
    <cfRule type="cellIs" dxfId="0" priority="32" stopIfTrue="1" operator="greaterThan">
      <formula>$D$16*0.99</formula>
    </cfRule>
  </conditionalFormatting>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145" r:id="rId4" name="List Box 1">
              <controlPr locked="0" defaultSize="0" autoLine="0" autoPict="0" macro="[0]!MacroGA1">
                <anchor moveWithCells="1">
                  <from>
                    <xdr:col>0</xdr:col>
                    <xdr:colOff>142875</xdr:colOff>
                    <xdr:row>1</xdr:row>
                    <xdr:rowOff>85725</xdr:rowOff>
                  </from>
                  <to>
                    <xdr:col>0</xdr:col>
                    <xdr:colOff>1323975</xdr:colOff>
                    <xdr:row>5</xdr:row>
                    <xdr:rowOff>38100</xdr:rowOff>
                  </to>
                </anchor>
              </controlPr>
            </control>
          </mc:Choice>
        </mc:AlternateContent>
        <mc:AlternateContent xmlns:mc="http://schemas.openxmlformats.org/markup-compatibility/2006">
          <mc:Choice Requires="x14">
            <control shapeId="6147" r:id="rId5" name="Check Box 3">
              <controlPr defaultSize="0" autoFill="0" autoLine="0" autoPict="0">
                <anchor moveWithCells="1">
                  <from>
                    <xdr:col>1</xdr:col>
                    <xdr:colOff>647700</xdr:colOff>
                    <xdr:row>3</xdr:row>
                    <xdr:rowOff>47625</xdr:rowOff>
                  </from>
                  <to>
                    <xdr:col>2</xdr:col>
                    <xdr:colOff>219075</xdr:colOff>
                    <xdr:row>5</xdr:row>
                    <xdr:rowOff>171450</xdr:rowOff>
                  </to>
                </anchor>
              </controlPr>
            </control>
          </mc:Choice>
        </mc:AlternateContent>
        <mc:AlternateContent xmlns:mc="http://schemas.openxmlformats.org/markup-compatibility/2006">
          <mc:Choice Requires="x14">
            <control shapeId="6148" r:id="rId6" name="Option Button 4">
              <controlPr defaultSize="0" autoFill="0" autoLine="0" autoPict="0">
                <anchor moveWithCells="1">
                  <from>
                    <xdr:col>3</xdr:col>
                    <xdr:colOff>114300</xdr:colOff>
                    <xdr:row>4</xdr:row>
                    <xdr:rowOff>47625</xdr:rowOff>
                  </from>
                  <to>
                    <xdr:col>3</xdr:col>
                    <xdr:colOff>1028700</xdr:colOff>
                    <xdr:row>5</xdr:row>
                    <xdr:rowOff>104775</xdr:rowOff>
                  </to>
                </anchor>
              </controlPr>
            </control>
          </mc:Choice>
        </mc:AlternateContent>
        <mc:AlternateContent xmlns:mc="http://schemas.openxmlformats.org/markup-compatibility/2006">
          <mc:Choice Requires="x14">
            <control shapeId="6149" r:id="rId7" name="Option Button 5">
              <controlPr defaultSize="0" autoFill="0" autoLine="0" autoPict="0">
                <anchor moveWithCells="1">
                  <from>
                    <xdr:col>3</xdr:col>
                    <xdr:colOff>114300</xdr:colOff>
                    <xdr:row>5</xdr:row>
                    <xdr:rowOff>123825</xdr:rowOff>
                  </from>
                  <to>
                    <xdr:col>3</xdr:col>
                    <xdr:colOff>1095375</xdr:colOff>
                    <xdr:row>5</xdr:row>
                    <xdr:rowOff>342900</xdr:rowOff>
                  </to>
                </anchor>
              </controlPr>
            </control>
          </mc:Choice>
        </mc:AlternateContent>
        <mc:AlternateContent xmlns:mc="http://schemas.openxmlformats.org/markup-compatibility/2006">
          <mc:Choice Requires="x14">
            <control shapeId="6150" r:id="rId8" name="Option Button 6">
              <controlPr defaultSize="0" autoFill="0" autoLine="0" autoPict="0">
                <anchor moveWithCells="1">
                  <from>
                    <xdr:col>3</xdr:col>
                    <xdr:colOff>742950</xdr:colOff>
                    <xdr:row>4</xdr:row>
                    <xdr:rowOff>47625</xdr:rowOff>
                  </from>
                  <to>
                    <xdr:col>3</xdr:col>
                    <xdr:colOff>1619250</xdr:colOff>
                    <xdr:row>5</xdr:row>
                    <xdr:rowOff>104775</xdr:rowOff>
                  </to>
                </anchor>
              </controlPr>
            </control>
          </mc:Choice>
        </mc:AlternateContent>
        <mc:AlternateContent xmlns:mc="http://schemas.openxmlformats.org/markup-compatibility/2006">
          <mc:Choice Requires="x14">
            <control shapeId="6151" r:id="rId9" name="Option Button 7">
              <controlPr defaultSize="0" autoFill="0" autoLine="0" autoPict="0">
                <anchor moveWithCells="1">
                  <from>
                    <xdr:col>3</xdr:col>
                    <xdr:colOff>752475</xdr:colOff>
                    <xdr:row>5</xdr:row>
                    <xdr:rowOff>114300</xdr:rowOff>
                  </from>
                  <to>
                    <xdr:col>3</xdr:col>
                    <xdr:colOff>1276350</xdr:colOff>
                    <xdr:row>5</xdr:row>
                    <xdr:rowOff>333375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P36"/>
  <sheetViews>
    <sheetView workbookViewId="0">
      <selection activeCell="C28" sqref="C28"/>
    </sheetView>
  </sheetViews>
  <sheetFormatPr defaultRowHeight="12.75" x14ac:dyDescent="0.2"/>
  <cols>
    <col min="2" max="2" width="21.5703125" customWidth="1"/>
    <col min="3" max="3" width="14" customWidth="1"/>
  </cols>
  <sheetData>
    <row r="1" spans="1:16" ht="18" x14ac:dyDescent="0.25">
      <c r="A1" s="1" t="s">
        <v>104</v>
      </c>
    </row>
    <row r="2" spans="1:16" x14ac:dyDescent="0.2">
      <c r="P2" t="s">
        <v>119</v>
      </c>
    </row>
    <row r="3" spans="1:16" ht="15" x14ac:dyDescent="0.2">
      <c r="A3" s="8" t="s">
        <v>105</v>
      </c>
      <c r="P3" t="s">
        <v>120</v>
      </c>
    </row>
    <row r="4" spans="1:16" x14ac:dyDescent="0.2">
      <c r="A4" t="s">
        <v>118</v>
      </c>
      <c r="P4" t="s">
        <v>121</v>
      </c>
    </row>
    <row r="5" spans="1:16" x14ac:dyDescent="0.2">
      <c r="P5" t="s">
        <v>122</v>
      </c>
    </row>
    <row r="6" spans="1:16" ht="15" x14ac:dyDescent="0.2">
      <c r="A6" s="8" t="s">
        <v>117</v>
      </c>
      <c r="P6" t="s">
        <v>123</v>
      </c>
    </row>
    <row r="7" spans="1:16" x14ac:dyDescent="0.2">
      <c r="A7" s="3" t="s">
        <v>134</v>
      </c>
      <c r="P7" s="9" t="s">
        <v>124</v>
      </c>
    </row>
    <row r="8" spans="1:16" x14ac:dyDescent="0.2">
      <c r="A8" s="6"/>
    </row>
    <row r="9" spans="1:16" ht="15" x14ac:dyDescent="0.2">
      <c r="A9" s="8" t="s">
        <v>125</v>
      </c>
    </row>
    <row r="10" spans="1:16" x14ac:dyDescent="0.2">
      <c r="A10" t="s">
        <v>135</v>
      </c>
    </row>
    <row r="12" spans="1:16" ht="15" x14ac:dyDescent="0.2">
      <c r="A12" s="8" t="s">
        <v>136</v>
      </c>
    </row>
    <row r="13" spans="1:16" x14ac:dyDescent="0.2">
      <c r="A13" t="s">
        <v>137</v>
      </c>
    </row>
    <row r="16" spans="1:16" x14ac:dyDescent="0.2">
      <c r="A16" t="s">
        <v>138</v>
      </c>
    </row>
    <row r="17" spans="1:7" x14ac:dyDescent="0.2">
      <c r="A17" s="6" t="s">
        <v>139</v>
      </c>
    </row>
    <row r="18" spans="1:7" x14ac:dyDescent="0.2">
      <c r="A18" s="6" t="s">
        <v>140</v>
      </c>
    </row>
    <row r="19" spans="1:7" ht="14.25" x14ac:dyDescent="0.2">
      <c r="A19" s="6" t="s">
        <v>129</v>
      </c>
    </row>
    <row r="20" spans="1:7" x14ac:dyDescent="0.2">
      <c r="A20" s="6"/>
    </row>
    <row r="21" spans="1:7" x14ac:dyDescent="0.2">
      <c r="A21" s="456" t="s">
        <v>107</v>
      </c>
      <c r="B21" s="456"/>
      <c r="C21" s="456"/>
    </row>
    <row r="22" spans="1:7" ht="15.75" x14ac:dyDescent="0.25">
      <c r="A22" s="7" t="s">
        <v>55</v>
      </c>
      <c r="B22" s="7" t="s">
        <v>115</v>
      </c>
      <c r="C22" s="7" t="s">
        <v>106</v>
      </c>
      <c r="E22" s="22" t="s">
        <v>149</v>
      </c>
    </row>
    <row r="23" spans="1:7" ht="15.75" x14ac:dyDescent="0.25">
      <c r="A23" s="4" t="s">
        <v>54</v>
      </c>
      <c r="B23" s="13">
        <v>2</v>
      </c>
      <c r="C23" s="10" t="e">
        <f>B23*(162.3/24.45)*298/(273+#REF!)</f>
        <v>#REF!</v>
      </c>
      <c r="F23" s="22" t="s">
        <v>150</v>
      </c>
    </row>
    <row r="24" spans="1:7" ht="15.75" x14ac:dyDescent="0.25">
      <c r="A24" s="4" t="s">
        <v>78</v>
      </c>
      <c r="B24">
        <v>1</v>
      </c>
      <c r="C24" s="33" t="e">
        <f>B24*(140.1/24.45)*298/(273+#REF!)</f>
        <v>#REF!</v>
      </c>
      <c r="G24" s="22" t="s">
        <v>151</v>
      </c>
    </row>
    <row r="25" spans="1:7" ht="15.75" x14ac:dyDescent="0.25">
      <c r="A25" s="4" t="s">
        <v>79</v>
      </c>
      <c r="B25" s="13">
        <v>20</v>
      </c>
      <c r="C25" s="10" t="e">
        <f>B25*(182.78/24.45)*298/(273+#REF!)</f>
        <v>#REF!</v>
      </c>
      <c r="G25" s="22" t="s">
        <v>152</v>
      </c>
    </row>
    <row r="26" spans="1:7" ht="15.75" x14ac:dyDescent="0.25">
      <c r="A26" s="4" t="s">
        <v>80</v>
      </c>
      <c r="B26" s="13">
        <v>100</v>
      </c>
      <c r="C26" s="10" t="e">
        <f>B26*(180.2/24.45)*298/(273+#REF!)</f>
        <v>#REF!</v>
      </c>
      <c r="E26" s="22" t="s">
        <v>153</v>
      </c>
    </row>
    <row r="27" spans="1:7" ht="15.75" x14ac:dyDescent="0.25">
      <c r="A27" s="4" t="s">
        <v>81</v>
      </c>
      <c r="B27" s="13">
        <v>1E-4</v>
      </c>
      <c r="C27" s="31" t="e">
        <f>B27*(267.38/24.45)*298/(273+#REF!)</f>
        <v>#REF!</v>
      </c>
      <c r="E27" s="22" t="s">
        <v>154</v>
      </c>
    </row>
    <row r="28" spans="1:7" ht="15.75" x14ac:dyDescent="0.25">
      <c r="A28" s="4" t="s">
        <v>82</v>
      </c>
      <c r="B28" s="13">
        <v>100</v>
      </c>
      <c r="C28" s="10" t="e">
        <f>B28*(159.08/24.45)*298/(273+#REF!)</f>
        <v>#REF!</v>
      </c>
      <c r="F28" s="22" t="s">
        <v>155</v>
      </c>
    </row>
    <row r="31" spans="1:7" x14ac:dyDescent="0.2">
      <c r="A31" s="456" t="s">
        <v>108</v>
      </c>
      <c r="B31" s="456"/>
      <c r="C31" s="456"/>
    </row>
    <row r="32" spans="1:7" x14ac:dyDescent="0.2">
      <c r="A32" s="7" t="s">
        <v>114</v>
      </c>
      <c r="B32" s="7" t="s">
        <v>116</v>
      </c>
      <c r="C32" s="7" t="s">
        <v>112</v>
      </c>
    </row>
    <row r="33" spans="1:3" x14ac:dyDescent="0.2">
      <c r="A33" s="4" t="s">
        <v>113</v>
      </c>
      <c r="B33" s="13">
        <v>90</v>
      </c>
      <c r="C33" s="7">
        <f>(B33/60)</f>
        <v>1.5</v>
      </c>
    </row>
    <row r="34" spans="1:3" x14ac:dyDescent="0.2">
      <c r="A34" s="4" t="s">
        <v>109</v>
      </c>
      <c r="B34" s="13">
        <v>1</v>
      </c>
      <c r="C34" s="7">
        <f>(B34*60)</f>
        <v>60</v>
      </c>
    </row>
    <row r="35" spans="1:3" x14ac:dyDescent="0.2">
      <c r="A35" s="4" t="s">
        <v>110</v>
      </c>
      <c r="B35" s="13">
        <v>3</v>
      </c>
      <c r="C35" s="7">
        <f>(B35*24)*60</f>
        <v>4320</v>
      </c>
    </row>
    <row r="36" spans="1:3" x14ac:dyDescent="0.2">
      <c r="A36" s="4" t="s">
        <v>111</v>
      </c>
      <c r="B36" s="13">
        <v>2</v>
      </c>
      <c r="C36" s="7">
        <f>B36*7*24*60</f>
        <v>20160</v>
      </c>
    </row>
  </sheetData>
  <mergeCells count="2">
    <mergeCell ref="A31:C31"/>
    <mergeCell ref="A21:C21"/>
  </mergeCells>
  <phoneticPr fontId="0"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378DD948BFD241AED74F48E169904D" ma:contentTypeVersion="2" ma:contentTypeDescription="Create a new document." ma:contentTypeScope="" ma:versionID="fb5791ed4c6e9bf2abfe14d96da7ef5e">
  <xsd:schema xmlns:xsd="http://www.w3.org/2001/XMLSchema" xmlns:xs="http://www.w3.org/2001/XMLSchema" xmlns:p="http://schemas.microsoft.com/office/2006/metadata/properties" targetNamespace="http://schemas.microsoft.com/office/2006/metadata/properties" ma:root="true" ma:fieldsID="c94ff533abd19b5967be94996294460c">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AB13091-D041-428E-B48C-E211F8C453BF}">
  <ds:schemaRefs>
    <ds:schemaRef ds:uri="http://schemas.microsoft.com/sharepoint/v3/contenttype/forms"/>
  </ds:schemaRefs>
</ds:datastoreItem>
</file>

<file path=customXml/itemProps2.xml><?xml version="1.0" encoding="utf-8"?>
<ds:datastoreItem xmlns:ds="http://schemas.openxmlformats.org/officeDocument/2006/customXml" ds:itemID="{D1653B91-6426-45F8-9FEC-2398092180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7C469BB4-088C-4566-9532-8A5FFBE9FA3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Equations</vt:lpstr>
      <vt:lpstr>Main Sheet</vt:lpstr>
      <vt:lpstr>CWA Entry</vt:lpstr>
      <vt:lpstr>Nerve</vt:lpstr>
      <vt:lpstr>Mustard</vt:lpstr>
      <vt:lpstr>HN and L</vt:lpstr>
      <vt:lpstr>Rad</vt:lpstr>
      <vt:lpstr>Airborne Rad</vt:lpstr>
      <vt:lpstr>Bio</vt:lpstr>
      <vt:lpstr>Calculations (Toxic Load)</vt:lpstr>
      <vt:lpstr>Calculations (Habers Law)</vt:lpstr>
      <vt:lpstr>Risk Assessment (Habers Law)</vt:lpstr>
      <vt:lpstr>Instruction</vt:lpstr>
    </vt:vector>
  </TitlesOfParts>
  <Company>AFIOH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CANTU, GABRIEL A Maj USAF AFMC USAFSAM/OECM</dc:creator>
  <cp:lastModifiedBy>Littles, Demarkus D MSgt USAF 52 MDG (USA)</cp:lastModifiedBy>
  <cp:lastPrinted>2007-02-19T18:50:56Z</cp:lastPrinted>
  <dcterms:created xsi:type="dcterms:W3CDTF">2002-12-19T20:56:27Z</dcterms:created>
  <dcterms:modified xsi:type="dcterms:W3CDTF">2022-08-10T10:01:16Z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0x010100F3378DD948BFD241AED74F48E169904D</vt:lpwstr>
  </property>
</Properties>
</file>